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Growth" sheetId="2" state="visible" r:id="rId4"/>
    <sheet name="Inputs" sheetId="3" state="visible" r:id="rId5"/>
    <sheet name="Founder" sheetId="4" state="visible" r:id="rId6"/>
    <sheet name="Market" sheetId="5" state="visible" r:id="rId7"/>
    <sheet name="Pessimistic" sheetId="6" state="visible" r:id="rId8"/>
    <sheet name="Optimistic" sheetId="7" state="visible" r:id="rId9"/>
  </sheets>
  <definedNames>
    <definedName function="false" hidden="false" localSheetId="0" name="_xlnm.Print_Area" vbProcedure="false">Summary!$A$1:$M$57,Summary!$O$1:$X$52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<sst xmlns="http://schemas.openxmlformats.org/spreadsheetml/2006/main" count="196" uniqueCount="111">
  <si>
    <t xml:space="preserve">Dashboard</t>
  </si>
  <si>
    <t xml:space="preserve">Founder case vs market case — every tile is a formula; change the blue cells on Inputs and this page updates.</t>
  </si>
  <si>
    <t xml:space="preserve">LTV / CAC (cash) — founder | market</t>
  </si>
  <si>
    <t xml:space="preserve">Payback, months — founder | market</t>
  </si>
  <si>
    <t xml:space="preserve">Break-even month — founder | market</t>
  </si>
  <si>
    <t xml:space="preserve">Peak capital need — founder | market</t>
  </si>
  <si>
    <t xml:space="preserve">Revenue month 36 — founder | market</t>
  </si>
  <si>
    <t xml:space="preserve">Revenue per customer needed for LTV/CAC = 3 (market)</t>
  </si>
  <si>
    <t xml:space="preserve">Metric</t>
  </si>
  <si>
    <t xml:space="preserve">Founder</t>
  </si>
  <si>
    <t xml:space="preserve">Market</t>
  </si>
  <si>
    <t xml:space="preserve">Pessimistic</t>
  </si>
  <si>
    <t xml:space="preserve">Optimistic</t>
  </si>
  <si>
    <t xml:space="preserve">Blended CAC</t>
  </si>
  <si>
    <t xml:space="preserve">LTV (lifetime gross-margin contribution, 60-mo cap)</t>
  </si>
  <si>
    <t xml:space="preserve">LTV / CAC (cash)</t>
  </si>
  <si>
    <t xml:space="preserve">Payback (months, cumulative)</t>
  </si>
  <si>
    <t xml:space="preserve">Gross margin</t>
  </si>
  <si>
    <t xml:space="preserve">Break-even month</t>
  </si>
  <si>
    <t xml:space="preserve">Peak capital need</t>
  </si>
  <si>
    <t xml:space="preserve">Revenue month 12</t>
  </si>
  <si>
    <t xml:space="preserve">Revenue month 24</t>
  </si>
  <si>
    <t xml:space="preserve">Revenue month 36</t>
  </si>
  <si>
    <t xml:space="preserve">Customers month 36</t>
  </si>
  <si>
    <t xml:space="preserve">Month</t>
  </si>
  <si>
    <t xml:space="preserve">Rev Founder</t>
  </si>
  <si>
    <t xml:space="preserve">Rev Market</t>
  </si>
  <si>
    <t xml:space="preserve">Rev Pessimistic</t>
  </si>
  <si>
    <t xml:space="preserve">Rev Optimistic</t>
  </si>
  <si>
    <t xml:space="preserve">Cash Founder</t>
  </si>
  <si>
    <t xml:space="preserve">Cash Market</t>
  </si>
  <si>
    <t xml:space="preserve">Cash Pessimistic</t>
  </si>
  <si>
    <t xml:space="preserve">Cash Optimistic</t>
  </si>
  <si>
    <t xml:space="preserve">Units Founder</t>
  </si>
  <si>
    <t xml:space="preserve">Units Market</t>
  </si>
  <si>
    <t xml:space="preserve">Units Pessimistic</t>
  </si>
  <si>
    <t xml:space="preserve">Units Optimistic</t>
  </si>
  <si>
    <t xml:space="preserve">Growth funnel (documentation of where the capacity number came from)</t>
  </si>
  <si>
    <t xml:space="preserve">Motion: founder_led  ·  ramp 50% at month 2  ·  lag 1 mo</t>
  </si>
  <si>
    <t xml:space="preserve">Funnel step</t>
  </si>
  <si>
    <t xml:space="preserve">Value</t>
  </si>
  <si>
    <t xml:space="preserve">Source</t>
  </si>
  <si>
    <t xml:space="preserve">30-min calls / month</t>
  </si>
  <si>
    <t xml:space="preserve">4–10</t>
  </si>
  <si>
    <t xml:space="preserve">founder content + 7-day email course, estimate</t>
  </si>
  <si>
    <t xml:space="preserve">→ signed retainer</t>
  </si>
  <si>
    <t xml:space="preserve">25–35 %</t>
  </si>
  <si>
    <t xml:space="preserve">conv.demo.close.smb (secondary)</t>
  </si>
  <si>
    <t xml:space="preserve">The resulting capacity is the blue 'New customers per month at full capacity' input. Edit it there.</t>
  </si>
  <si>
    <t xml:space="preserve">Assumptions — founder vs market</t>
  </si>
  <si>
    <t xml:space="preserve">Revenue unit: subscription. Blue cells are inputs. Founder = the founder's number; Market = midpoint of the benchmark range (low/high feed the pessimistic and optimistic cases).</t>
  </si>
  <si>
    <t xml:space="preserve">Assumption</t>
  </si>
  <si>
    <t xml:space="preserve">Market (mid)</t>
  </si>
  <si>
    <t xml:space="preserve">Market low</t>
  </si>
  <si>
    <t xml:space="preserve">Market high</t>
  </si>
  <si>
    <t xml:space="preserve">Founder status</t>
  </si>
  <si>
    <t xml:space="preserve">Market source</t>
  </si>
  <si>
    <t xml:space="preserve">Price</t>
  </si>
  <si>
    <t xml:space="preserve">founder_stated</t>
  </si>
  <si>
    <t xml:space="preserve">published price €1 500/mo (magicpost.in review, Jan 2026); market: agency retainer mid tier 12–16 posts $2 000–4 000/mo (Windmill Growth via magicpost.in ghostwriting-rates, Sep 2026) × 0.92 EUR/USD</t>
  </si>
  <si>
    <t xml:space="preserve">benchmarked · filled_from_market</t>
  </si>
  <si>
    <t xml:space="preserve">margin.services — agency delivery margin (secondary, unverified entry)</t>
  </si>
  <si>
    <t xml:space="preserve">Monthly churn</t>
  </si>
  <si>
    <t xml:space="preserve">churn.agency.project.2025 — retainer agencies: &gt;20 %/yr is a red flag; 20–40 %/yr → 1−(1−a)^(1/12) = 1.8–4.2 %/mo (secondary)</t>
  </si>
  <si>
    <t xml:space="preserve">Expansion</t>
  </si>
  <si>
    <t xml:space="preserve">upsell from €1 500 management to €2 500 lead-gen tier; expansion.seat_b2b lower half (secondary, unverified)</t>
  </si>
  <si>
    <t xml:space="preserve">New customers per month</t>
  </si>
  <si>
    <t xml:space="preserve">capacity.founder_led: inbound from founder content + 30-min calls, one part-time seller; 1–3 signed retainers/mo (secondary)</t>
  </si>
  <si>
    <t xml:space="preserve">Cost per fte per month</t>
  </si>
  <si>
    <t xml:space="preserve">fte.cost.e_eu_latam / fte.cost.region — remote team of ~4 FTE across Europe (secondary, unverified)</t>
  </si>
  <si>
    <t xml:space="preserve">Cost to acquire</t>
  </si>
  <si>
    <t xml:space="preserve">денежные расходы на одного подписанного клиента при продажах через контент основателя: Sales Navigator, инструменты, мероприятия; оценка аналитика по аналогии с cac.microsaas.organic.2025 (0–50 $ без учёта времени) плюс инструменты; время команды — в зарплатах</t>
  </si>
  <si>
    <t xml:space="preserve">Scalars (same in every case)</t>
  </si>
  <si>
    <t xml:space="preserve">Team size (FTE)</t>
  </si>
  <si>
    <t xml:space="preserve">Fixed monthly overhead (content, licences, infra floor)</t>
  </si>
  <si>
    <t xml:space="preserve">Upfront investment before first revenue</t>
  </si>
  <si>
    <t xml:space="preserve">Free months per new customer (long trial)</t>
  </si>
  <si>
    <t xml:space="preserve">Founder time per new customer, value of unpaid hours (not cash; ratios only)</t>
  </si>
  <si>
    <t xml:space="preserve">Starting paying customers (post-revenue only, measured)</t>
  </si>
  <si>
    <t xml:space="preserve">Starting monthly revenue (post-revenue only, measured)</t>
  </si>
  <si>
    <t xml:space="preserve">Ramp: month at 50% capacity</t>
  </si>
  <si>
    <t xml:space="preserve">Ramp: steepness k (0 = no ramp)</t>
  </si>
  <si>
    <t xml:space="preserve">Sales-cycle lag (months)</t>
  </si>
  <si>
    <t xml:space="preserve">Acquisition channels — the founder's CAC is the volume-weighted average of this table</t>
  </si>
  <si>
    <t xml:space="preserve">Channel</t>
  </si>
  <si>
    <t xml:space="preserve">Customers / month</t>
  </si>
  <si>
    <t xml:space="preserve">Channel CAC</t>
  </si>
  <si>
    <t xml:space="preserve">Effective CAC</t>
  </si>
  <si>
    <t xml:space="preserve">(none — CAC from the assumption row)</t>
  </si>
  <si>
    <t xml:space="preserve">Founder case</t>
  </si>
  <si>
    <t xml:space="preserve">Revenue per customer-month (ARPU₀)</t>
  </si>
  <si>
    <t xml:space="preserve">Monthly expansion</t>
  </si>
  <si>
    <t xml:space="preserve">Fixed burn / month</t>
  </si>
  <si>
    <t xml:space="preserve">New customers / month at full capacity</t>
  </si>
  <si>
    <t xml:space="preserve">LTV (lifetime contribution, 60-mo cap)</t>
  </si>
  <si>
    <t xml:space="preserve">Payback (months, cumulative; "none" = not within 60)</t>
  </si>
  <si>
    <t xml:space="preserve">Ramp</t>
  </si>
  <si>
    <t xml:space="preserve">New customers (arrivals)</t>
  </si>
  <si>
    <t xml:space="preserve">Paying customers</t>
  </si>
  <si>
    <t xml:space="preserve">ARPU (derived)</t>
  </si>
  <si>
    <t xml:space="preserve">Revenue</t>
  </si>
  <si>
    <t xml:space="preserve">Gross profit</t>
  </si>
  <si>
    <t xml:space="preserve">Acquisition spend</t>
  </si>
  <si>
    <t xml:space="preserve">Fixed burn</t>
  </si>
  <si>
    <t xml:space="preserve">Net cash flow</t>
  </si>
  <si>
    <t xml:space="preserve">Cumulative cash</t>
  </si>
  <si>
    <t xml:space="preserve">Lowest net from here on</t>
  </si>
  <si>
    <t xml:space="preserve">Break-even month (net ≥ 0 from then on)</t>
  </si>
  <si>
    <t xml:space="preserve">Market case</t>
  </si>
  <si>
    <t xml:space="preserve">Pessimistic case</t>
  </si>
  <si>
    <t xml:space="preserve">Optimistic case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</si>
</sst>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#,##0;\(#,##0\);\-"/>
    <numFmt numFmtId="167" formatCode="0.0\x"/>
    <numFmt numFmtId="168" formatCode="0"/>
    <numFmt numFmtId="169" formatCode="0.0%"/>
    <numFmt numFmtId="170" formatCode="#,##0"/>
    <numFmt numFmtId="171" formatCode="0.00"/>
    <numFmt numFmtId="172" formatCode="0.0"/>
    <numFmt numFmtId="173" formatCode="#,##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sz val="8"/>
      <color rgb="FF59595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4F8"/>
        <bgColor rgb="FFFFFFFF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2F4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by case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Summary!B21</c:f>
              <c:strCache>
                <c:ptCount val="1"/>
                <c:pt idx="0">
                  <c:v>Rev Founder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Summary!$B$22:$B$57</c:f>
              <c:numCache>
                <c:formatCode>#,##0;\(#,##0\);\-</c:formatCode>
                <c:ptCount val="36"/>
                <c:pt idx="0">
                  <c:v>0</c:v>
                </c:pt>
                <c:pt idx="1">
                  <c:v>806.824264109985</c:v>
                </c:pt>
                <c:pt idx="2">
                  <c:v>2290.44573154855</c:v>
                </c:pt>
                <c:pt idx="3">
                  <c:v>4437.12541908813</c:v>
                </c:pt>
                <c:pt idx="4">
                  <c:v>6989.44300701429</c:v>
                </c:pt>
                <c:pt idx="5">
                  <c:v>9705.2796944392</c:v>
                </c:pt>
                <c:pt idx="6">
                  <c:v>12454.3038867558</c:v>
                </c:pt>
                <c:pt idx="7">
                  <c:v>15181.4029650818</c:v>
                </c:pt>
                <c:pt idx="8">
                  <c:v>17865.8026154207</c:v>
                </c:pt>
                <c:pt idx="9">
                  <c:v>20500.3936687445</c:v>
                </c:pt>
                <c:pt idx="10">
                  <c:v>23083.2296268776</c:v>
                </c:pt>
                <c:pt idx="11">
                  <c:v>25614.269881724</c:v>
                </c:pt>
                <c:pt idx="12">
                  <c:v>28094.1640095189</c:v>
                </c:pt>
                <c:pt idx="13">
                  <c:v>30523.8023758601</c:v>
                </c:pt>
                <c:pt idx="14">
                  <c:v>32904.1507551064</c:v>
                </c:pt>
                <c:pt idx="15">
                  <c:v>35236.1897138048</c:v>
                </c:pt>
                <c:pt idx="16">
                  <c:v>37520.8925680305</c:v>
                </c:pt>
                <c:pt idx="17">
                  <c:v>39759.2175311928</c:v>
                </c:pt>
                <c:pt idx="18">
                  <c:v>41952.1050777041</c:v>
                </c:pt>
                <c:pt idx="19">
                  <c:v>44100.4772204286</c:v>
                </c:pt>
                <c:pt idx="20">
                  <c:v>46205.2374871639</c:v>
                </c:pt>
                <c:pt idx="21">
                  <c:v>48267.2711493661</c:v>
                </c:pt>
                <c:pt idx="22">
                  <c:v>50287.4455388505</c:v>
                </c:pt>
                <c:pt idx="23">
                  <c:v>52266.6103921371</c:v>
                </c:pt>
                <c:pt idx="24">
                  <c:v>54205.5982003399</c:v>
                </c:pt>
                <c:pt idx="25">
                  <c:v>56105.2245565651</c:v>
                </c:pt>
                <c:pt idx="26">
                  <c:v>57966.2884979536</c:v>
                </c:pt>
                <c:pt idx="27">
                  <c:v>59789.5728414035</c:v>
                </c:pt>
                <c:pt idx="28">
                  <c:v>61575.8445127076</c:v>
                </c:pt>
                <c:pt idx="29">
                  <c:v>63325.854869094</c:v>
                </c:pt>
                <c:pt idx="30">
                  <c:v>65040.3400152494</c:v>
                </c:pt>
                <c:pt idx="31">
                  <c:v>66720.021112939</c:v>
                </c:pt>
                <c:pt idx="32">
                  <c:v>68365.6046843461</c:v>
                </c:pt>
                <c:pt idx="33">
                  <c:v>69977.7829092537</c:v>
                </c:pt>
                <c:pt idx="34">
                  <c:v>71557.2339161958</c:v>
                </c:pt>
                <c:pt idx="35">
                  <c:v>73104.622067697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Summary!C21</c:f>
              <c:strCache>
                <c:ptCount val="1"/>
                <c:pt idx="0">
                  <c:v>Rev Market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Summary!$C$22:$C$57</c:f>
              <c:numCache>
                <c:formatCode>#,##0;\(#,##0\);\-</c:formatCode>
                <c:ptCount val="36"/>
                <c:pt idx="0">
                  <c:v>0</c:v>
                </c:pt>
                <c:pt idx="1">
                  <c:v>1492.62488860347</c:v>
                </c:pt>
                <c:pt idx="2">
                  <c:v>4237.32460336482</c:v>
                </c:pt>
                <c:pt idx="3">
                  <c:v>8208.68202531304</c:v>
                </c:pt>
                <c:pt idx="4">
                  <c:v>12930.4695629764</c:v>
                </c:pt>
                <c:pt idx="5">
                  <c:v>17954.7674347125</c:v>
                </c:pt>
                <c:pt idx="6">
                  <c:v>23040.4621904983</c:v>
                </c:pt>
                <c:pt idx="7">
                  <c:v>28085.5954854014</c:v>
                </c:pt>
                <c:pt idx="8">
                  <c:v>33051.7348385284</c:v>
                </c:pt>
                <c:pt idx="9">
                  <c:v>37925.7282871773</c:v>
                </c:pt>
                <c:pt idx="10">
                  <c:v>42703.9748097235</c:v>
                </c:pt>
                <c:pt idx="11">
                  <c:v>47386.3992811894</c:v>
                </c:pt>
                <c:pt idx="12">
                  <c:v>51974.20341761</c:v>
                </c:pt>
                <c:pt idx="13">
                  <c:v>56469.0343953413</c:v>
                </c:pt>
                <c:pt idx="14">
                  <c:v>60872.6788969468</c:v>
                </c:pt>
                <c:pt idx="15">
                  <c:v>65186.9509705389</c:v>
                </c:pt>
                <c:pt idx="16">
                  <c:v>69413.6512508564</c:v>
                </c:pt>
                <c:pt idx="17">
                  <c:v>73554.5524327067</c:v>
                </c:pt>
                <c:pt idx="18">
                  <c:v>77611.3943937526</c:v>
                </c:pt>
                <c:pt idx="19">
                  <c:v>81585.8828577929</c:v>
                </c:pt>
                <c:pt idx="20">
                  <c:v>85479.6893512533</c:v>
                </c:pt>
                <c:pt idx="21">
                  <c:v>89294.4516263273</c:v>
                </c:pt>
                <c:pt idx="22">
                  <c:v>93031.7742468735</c:v>
                </c:pt>
                <c:pt idx="23">
                  <c:v>96693.2292254536</c:v>
                </c:pt>
                <c:pt idx="24">
                  <c:v>100280.356670629</c:v>
                </c:pt>
                <c:pt idx="25">
                  <c:v>103794.665429645</c:v>
                </c:pt>
                <c:pt idx="26">
                  <c:v>107237.633721214</c:v>
                </c:pt>
                <c:pt idx="27">
                  <c:v>110610.709756596</c:v>
                </c:pt>
                <c:pt idx="28">
                  <c:v>113915.312348509</c:v>
                </c:pt>
                <c:pt idx="29">
                  <c:v>117152.831507824</c:v>
                </c:pt>
                <c:pt idx="30">
                  <c:v>120324.629028211</c:v>
                </c:pt>
                <c:pt idx="31">
                  <c:v>123432.039058937</c:v>
                </c:pt>
                <c:pt idx="32">
                  <c:v>126476.36866604</c:v>
                </c:pt>
                <c:pt idx="33">
                  <c:v>129458.898382119</c:v>
                </c:pt>
                <c:pt idx="34">
                  <c:v>132380.882744962</c:v>
                </c:pt>
                <c:pt idx="35">
                  <c:v>135243.55082524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Summary!D21</c:f>
              <c:strCache>
                <c:ptCount val="1"/>
                <c:pt idx="0">
                  <c:v>Rev Pessimistic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Summary!$D$22:$D$57</c:f>
              <c:numCache>
                <c:formatCode>#,##0;\(#,##0\);\-</c:formatCode>
                <c:ptCount val="36"/>
                <c:pt idx="0">
                  <c:v>0</c:v>
                </c:pt>
                <c:pt idx="1">
                  <c:v>497.541629534491</c:v>
                </c:pt>
                <c:pt idx="2">
                  <c:v>1401.64488109404</c:v>
                </c:pt>
                <c:pt idx="3">
                  <c:v>2695.2341665536</c:v>
                </c:pt>
                <c:pt idx="4">
                  <c:v>4211.50892581743</c:v>
                </c:pt>
                <c:pt idx="5">
                  <c:v>5796.8876855546</c:v>
                </c:pt>
                <c:pt idx="6">
                  <c:v>7370.14391433144</c:v>
                </c:pt>
                <c:pt idx="7">
                  <c:v>8898.21609571959</c:v>
                </c:pt>
                <c:pt idx="8">
                  <c:v>10369.9166668596</c:v>
                </c:pt>
                <c:pt idx="9">
                  <c:v>11782.6947221419</c:v>
                </c:pt>
                <c:pt idx="10">
                  <c:v>13137.2011460705</c:v>
                </c:pt>
                <c:pt idx="11">
                  <c:v>14435.21041797</c:v>
                </c:pt>
                <c:pt idx="12">
                  <c:v>15678.8475943582</c:v>
                </c:pt>
                <c:pt idx="13">
                  <c:v>16870.3050977647</c:v>
                </c:pt>
                <c:pt idx="14">
                  <c:v>18011.7409169356</c:v>
                </c:pt>
                <c:pt idx="15">
                  <c:v>19105.2436168243</c:v>
                </c:pt>
                <c:pt idx="16">
                  <c:v>20152.8218465908</c:v>
                </c:pt>
                <c:pt idx="17">
                  <c:v>21156.4027631149</c:v>
                </c:pt>
                <c:pt idx="18">
                  <c:v>22117.833638874</c:v>
                </c:pt>
                <c:pt idx="19">
                  <c:v>23038.8845494525</c:v>
                </c:pt>
                <c:pt idx="20">
                  <c:v>23921.2513702</c:v>
                </c:pt>
                <c:pt idx="21">
                  <c:v>24766.5588022864</c:v>
                </c:pt>
                <c:pt idx="22">
                  <c:v>25576.3633287773</c:v>
                </c:pt>
                <c:pt idx="23">
                  <c:v>26352.1560675659</c:v>
                </c:pt>
                <c:pt idx="24">
                  <c:v>27095.365512212</c:v>
                </c:pt>
                <c:pt idx="25">
                  <c:v>27807.3601605093</c:v>
                </c:pt>
                <c:pt idx="26">
                  <c:v>28489.4510336981</c:v>
                </c:pt>
                <c:pt idx="27">
                  <c:v>29142.894090257</c:v>
                </c:pt>
                <c:pt idx="28">
                  <c:v>29768.8925384568</c:v>
                </c:pt>
                <c:pt idx="29">
                  <c:v>30368.5990518381</c:v>
                </c:pt>
                <c:pt idx="30">
                  <c:v>30943.1178916596</c:v>
                </c:pt>
                <c:pt idx="31">
                  <c:v>31493.5069402095</c:v>
                </c:pt>
                <c:pt idx="32">
                  <c:v>32020.7796487205</c:v>
                </c:pt>
                <c:pt idx="33">
                  <c:v>32525.9069034742</c:v>
                </c:pt>
                <c:pt idx="34">
                  <c:v>33009.8188135282</c:v>
                </c:pt>
                <c:pt idx="35">
                  <c:v>33473.40642336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Summary!E21</c:f>
              <c:strCache>
                <c:ptCount val="1"/>
                <c:pt idx="0">
                  <c:v>Rev Optimistic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Summary!$E$22:$E$57</c:f>
              <c:numCache>
                <c:formatCode>#,##0;\(#,##0\);\-</c:formatCode>
                <c:ptCount val="36"/>
                <c:pt idx="0">
                  <c:v>0</c:v>
                </c:pt>
                <c:pt idx="1">
                  <c:v>2985.24977720695</c:v>
                </c:pt>
                <c:pt idx="2">
                  <c:v>8540.14558684157</c:v>
                </c:pt>
                <c:pt idx="3">
                  <c:v>16668.901648397</c:v>
                </c:pt>
                <c:pt idx="4">
                  <c:v>26473.0862126549</c:v>
                </c:pt>
                <c:pt idx="5">
                  <c:v>37090.0748817727</c:v>
                </c:pt>
                <c:pt idx="6">
                  <c:v>48051.2556739996</c:v>
                </c:pt>
                <c:pt idx="7">
                  <c:v>59155.7690880454</c:v>
                </c:pt>
                <c:pt idx="8">
                  <c:v>70325.3384323111</c:v>
                </c:pt>
                <c:pt idx="9">
                  <c:v>81530.5593190822</c:v>
                </c:pt>
                <c:pt idx="10">
                  <c:v>92760.5470499174</c:v>
                </c:pt>
                <c:pt idx="11">
                  <c:v>104011.304667286</c:v>
                </c:pt>
                <c:pt idx="12">
                  <c:v>115281.379290598</c:v>
                </c:pt>
                <c:pt idx="13">
                  <c:v>126570.255366852</c:v>
                </c:pt>
                <c:pt idx="14">
                  <c:v>137877.762385315</c:v>
                </c:pt>
                <c:pt idx="15">
                  <c:v>149203.856826027</c:v>
                </c:pt>
                <c:pt idx="16">
                  <c:v>160548.541921261</c:v>
                </c:pt>
                <c:pt idx="17">
                  <c:v>171911.838134497</c:v>
                </c:pt>
                <c:pt idx="18">
                  <c:v>183293.772299897</c:v>
                </c:pt>
                <c:pt idx="19">
                  <c:v>194694.373626936</c:v>
                </c:pt>
                <c:pt idx="20">
                  <c:v>206113.672230632</c:v>
                </c:pt>
                <c:pt idx="21">
                  <c:v>217551.698590899</c:v>
                </c:pt>
                <c:pt idx="22">
                  <c:v>229008.483353709</c:v>
                </c:pt>
                <c:pt idx="23">
                  <c:v>240484.057257992</c:v>
                </c:pt>
                <c:pt idx="24">
                  <c:v>251978.451108799</c:v>
                </c:pt>
                <c:pt idx="25">
                  <c:v>263491.695767479</c:v>
                </c:pt>
                <c:pt idx="26">
                  <c:v>275023.822148118</c:v>
                </c:pt>
                <c:pt idx="27">
                  <c:v>286574.861216287</c:v>
                </c:pt>
                <c:pt idx="28">
                  <c:v>298144.843988625</c:v>
                </c:pt>
                <c:pt idx="29">
                  <c:v>309733.801532746</c:v>
                </c:pt>
                <c:pt idx="30">
                  <c:v>321341.764967252</c:v>
                </c:pt>
                <c:pt idx="31">
                  <c:v>332968.765461795</c:v>
                </c:pt>
                <c:pt idx="32">
                  <c:v>344614.834237151</c:v>
                </c:pt>
                <c:pt idx="33">
                  <c:v>356280.0025653</c:v>
                </c:pt>
                <c:pt idx="34">
                  <c:v>367964.301769507</c:v>
                </c:pt>
                <c:pt idx="35">
                  <c:v>379667.763224409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613928"/>
        <c:axId val="31439836"/>
      </c:lineChart>
      <c:catAx>
        <c:axId val="77613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439836"/>
        <c:crosses val="autoZero"/>
        <c:auto val="1"/>
        <c:lblAlgn val="ctr"/>
        <c:lblOffset val="100"/>
        <c:noMultiLvlLbl val="0"/>
      </c:catAx>
      <c:valAx>
        <c:axId val="314398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61392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Cumulative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Summary!F21</c:f>
              <c:strCache>
                <c:ptCount val="1"/>
                <c:pt idx="0">
                  <c:v>Cash Founder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Summary!$F$22:$F$57</c:f>
              <c:numCache>
                <c:formatCode>#,##0;\(#,##0\);\-</c:formatCode>
                <c:ptCount val="36"/>
                <c:pt idx="0">
                  <c:v>-17094.1294974795</c:v>
                </c:pt>
                <c:pt idx="1">
                  <c:v>-33845.5467588218</c:v>
                </c:pt>
                <c:pt idx="2">
                  <c:v>-49898.9332522793</c:v>
                </c:pt>
                <c:pt idx="3">
                  <c:v>-64877.7213845503</c:v>
                </c:pt>
                <c:pt idx="4">
                  <c:v>-78541.6647502556</c:v>
                </c:pt>
                <c:pt idx="5">
                  <c:v>-90790.0977371883</c:v>
                </c:pt>
                <c:pt idx="6">
                  <c:v>-101599.245698818</c:v>
                </c:pt>
                <c:pt idx="7">
                  <c:v>-110978.143724045</c:v>
                </c:pt>
                <c:pt idx="8">
                  <c:v>-118948.278483031</c:v>
                </c:pt>
                <c:pt idx="9">
                  <c:v>-125535.454434395</c:v>
                </c:pt>
                <c:pt idx="10">
                  <c:v>-130766.715692182</c:v>
                </c:pt>
                <c:pt idx="11">
                  <c:v>-134669.208115023</c:v>
                </c:pt>
                <c:pt idx="12">
                  <c:v>-137269.766164528</c:v>
                </c:pt>
                <c:pt idx="13">
                  <c:v>-138594.767766741</c:v>
                </c:pt>
                <c:pt idx="14">
                  <c:v>-138670.087829196</c:v>
                </c:pt>
                <c:pt idx="15">
                  <c:v>-137521.087938414</c:v>
                </c:pt>
                <c:pt idx="16">
                  <c:v>-135172.619233132</c:v>
                </c:pt>
                <c:pt idx="17">
                  <c:v>-131649.029989869</c:v>
                </c:pt>
                <c:pt idx="18">
                  <c:v>-126974.174809584</c:v>
                </c:pt>
                <c:pt idx="19">
                  <c:v>-121171.424263529</c:v>
                </c:pt>
                <c:pt idx="20">
                  <c:v>-114263.674580807</c:v>
                </c:pt>
                <c:pt idx="21">
                  <c:v>-106273.357226668</c:v>
                </c:pt>
                <c:pt idx="22">
                  <c:v>-97222.4483185061</c:v>
                </c:pt>
                <c:pt idx="23">
                  <c:v>-87132.4778625365</c:v>
                </c:pt>
                <c:pt idx="24">
                  <c:v>-76024.5388073221</c:v>
                </c:pt>
                <c:pt idx="25">
                  <c:v>-63919.2959151122</c:v>
                </c:pt>
                <c:pt idx="26">
                  <c:v>-50836.9944536817</c:v>
                </c:pt>
                <c:pt idx="27">
                  <c:v>-36797.4687119431</c:v>
                </c:pt>
                <c:pt idx="28">
                  <c:v>-21820.150342771</c:v>
                </c:pt>
                <c:pt idx="29">
                  <c:v>-5924.07653649636</c:v>
                </c:pt>
                <c:pt idx="30">
                  <c:v>10872.1019715096</c:v>
                </c:pt>
                <c:pt idx="31">
                  <c:v>28550.1130558027</c:v>
                </c:pt>
                <c:pt idx="32">
                  <c:v>47092.0555150844</c:v>
                </c:pt>
                <c:pt idx="33">
                  <c:v>66480.3915424426</c:v>
                </c:pt>
                <c:pt idx="34">
                  <c:v>86697.9393484454</c:v>
                </c:pt>
                <c:pt idx="35">
                  <c:v>107727.865933986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Summary!G21</c:f>
              <c:strCache>
                <c:ptCount val="1"/>
                <c:pt idx="0">
                  <c:v>Cash Market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Summary!$G$22:$G$57</c:f>
              <c:numCache>
                <c:formatCode>#,##0;\(#,##0\);\-</c:formatCode>
                <c:ptCount val="36"/>
                <c:pt idx="0">
                  <c:v>-17094.1294974795</c:v>
                </c:pt>
                <c:pt idx="1">
                  <c:v>-33485.5014309627</c:v>
                </c:pt>
                <c:pt idx="2">
                  <c:v>-48516.7765167166</c:v>
                </c:pt>
                <c:pt idx="3">
                  <c:v>-61515.4974307196</c:v>
                </c:pt>
                <c:pt idx="4">
                  <c:v>-72060.4018545448</c:v>
                </c:pt>
                <c:pt idx="5">
                  <c:v>-79977.853777834</c:v>
                </c:pt>
                <c:pt idx="6">
                  <c:v>-85229.2686299989</c:v>
                </c:pt>
                <c:pt idx="7">
                  <c:v>-87833.4655820584</c:v>
                </c:pt>
                <c:pt idx="8">
                  <c:v>-87830.9859239129</c:v>
                </c:pt>
                <c:pt idx="9">
                  <c:v>-85269.8612005992</c:v>
                </c:pt>
                <c:pt idx="10">
                  <c:v>-80200.2312373927</c:v>
                </c:pt>
                <c:pt idx="11">
                  <c:v>-72672.3557255142</c:v>
                </c:pt>
                <c:pt idx="12">
                  <c:v>-62735.8930857713</c:v>
                </c:pt>
                <c:pt idx="13">
                  <c:v>-50439.6478777561</c:v>
                </c:pt>
                <c:pt idx="14">
                  <c:v>-35831.4906657455</c:v>
                </c:pt>
                <c:pt idx="15">
                  <c:v>-18958.3411151777</c:v>
                </c:pt>
                <c:pt idx="16">
                  <c:v>133.82589858766</c:v>
                </c:pt>
                <c:pt idx="17">
                  <c:v>21399.965965146</c:v>
                </c:pt>
                <c:pt idx="18">
                  <c:v>44795.9480363559</c:v>
                </c:pt>
                <c:pt idx="19">
                  <c:v>70278.5365420276</c:v>
                </c:pt>
                <c:pt idx="20">
                  <c:v>97805.3734533966</c:v>
                </c:pt>
                <c:pt idx="21">
                  <c:v>127334.96055794</c:v>
                </c:pt>
                <c:pt idx="22">
                  <c:v>158826.642037814</c:v>
                </c:pt>
                <c:pt idx="23">
                  <c:v>192240.587381275</c:v>
                </c:pt>
                <c:pt idx="24">
                  <c:v>227537.774633391</c:v>
                </c:pt>
                <c:pt idx="25">
                  <c:v>264679.973983968</c:v>
                </c:pt>
                <c:pt idx="26">
                  <c:v>303629.73168761</c:v>
                </c:pt>
                <c:pt idx="27">
                  <c:v>344350.354309825</c:v>
                </c:pt>
                <c:pt idx="28">
                  <c:v>386805.893292793</c:v>
                </c:pt>
                <c:pt idx="29">
                  <c:v>430961.129834401</c:v>
                </c:pt>
                <c:pt idx="30">
                  <c:v>476781.560074212</c:v>
                </c:pt>
                <c:pt idx="31">
                  <c:v>524233.380580154</c:v>
                </c:pt>
                <c:pt idx="32">
                  <c:v>573283.474129825</c:v>
                </c:pt>
                <c:pt idx="33">
                  <c:v>623899.395780438</c:v>
                </c:pt>
                <c:pt idx="34">
                  <c:v>676049.359221543</c:v>
                </c:pt>
                <c:pt idx="35">
                  <c:v>729702.223404794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Summary!H21</c:f>
              <c:strCache>
                <c:ptCount val="1"/>
                <c:pt idx="0">
                  <c:v>Cash Pessimistic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Summary!$H$22:$H$57</c:f>
              <c:numCache>
                <c:formatCode>#,##0;\(#,##0\);\-</c:formatCode>
                <c:ptCount val="36"/>
                <c:pt idx="0">
                  <c:v>-24080.682426411</c:v>
                </c:pt>
                <c:pt idx="1">
                  <c:v>-48031.6657745972</c:v>
                </c:pt>
                <c:pt idx="2">
                  <c:v>-71690.3253957486</c:v>
                </c:pt>
                <c:pt idx="3">
                  <c:v>-94876.4708525205</c:v>
                </c:pt>
                <c:pt idx="4">
                  <c:v>-117477.63952024</c:v>
                </c:pt>
                <c:pt idx="5">
                  <c:v>-139453.48858303</c:v>
                </c:pt>
                <c:pt idx="6">
                  <c:v>-160803.42316202</c:v>
                </c:pt>
                <c:pt idx="7">
                  <c:v>-181543.394936785</c:v>
                </c:pt>
                <c:pt idx="8">
                  <c:v>-201695.154954683</c:v>
                </c:pt>
                <c:pt idx="9">
                  <c:v>-221281.976460787</c:v>
                </c:pt>
                <c:pt idx="10">
                  <c:v>-240327.058983986</c:v>
                </c:pt>
                <c:pt idx="11">
                  <c:v>-258852.961197437</c:v>
                </c:pt>
                <c:pt idx="12">
                  <c:v>-276881.417149268</c:v>
                </c:pt>
                <c:pt idx="13">
                  <c:v>-294433.293266909</c:v>
                </c:pt>
                <c:pt idx="14">
                  <c:v>-311528.596222038</c:v>
                </c:pt>
                <c:pt idx="15">
                  <c:v>-328186.49852585</c:v>
                </c:pt>
                <c:pt idx="16">
                  <c:v>-344425.369695443</c:v>
                </c:pt>
                <c:pt idx="17">
                  <c:v>-360262.808556436</c:v>
                </c:pt>
                <c:pt idx="18">
                  <c:v>-375715.675088467</c:v>
                </c:pt>
                <c:pt idx="19">
                  <c:v>-390800.121264117</c:v>
                </c:pt>
                <c:pt idx="20">
                  <c:v>-405531.620714356</c:v>
                </c:pt>
                <c:pt idx="21">
                  <c:v>-419924.997192823</c:v>
                </c:pt>
                <c:pt idx="22">
                  <c:v>-433994.451861085</c:v>
                </c:pt>
                <c:pt idx="23">
                  <c:v>-447753.589433975</c:v>
                </c:pt>
                <c:pt idx="24">
                  <c:v>-461215.443229059</c:v>
                </c:pt>
                <c:pt idx="25">
                  <c:v>-474392.499164844</c:v>
                </c:pt>
                <c:pt idx="26">
                  <c:v>-487296.718751361</c:v>
                </c:pt>
                <c:pt idx="27">
                  <c:v>-499939.561115256</c:v>
                </c:pt>
                <c:pt idx="28">
                  <c:v>-512332.004099873</c:v>
                </c:pt>
                <c:pt idx="29">
                  <c:v>-524484.564479138</c:v>
                </c:pt>
                <c:pt idx="30">
                  <c:v>-536407.317322474</c:v>
                </c:pt>
                <c:pt idx="31">
                  <c:v>-548109.91454639</c:v>
                </c:pt>
                <c:pt idx="32">
                  <c:v>-559601.602686902</c:v>
                </c:pt>
                <c:pt idx="33">
                  <c:v>-570891.239925512</c:v>
                </c:pt>
                <c:pt idx="34">
                  <c:v>-581987.312400101</c:v>
                </c:pt>
                <c:pt idx="35">
                  <c:v>-592897.949830757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Summary!I21</c:f>
              <c:strCache>
                <c:ptCount val="1"/>
                <c:pt idx="0">
                  <c:v>Cash Optimistic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Summary!$I$22:$I$57</c:f>
              <c:numCache>
                <c:formatCode>#,##0;\(#,##0\);\-</c:formatCode>
                <c:ptCount val="36"/>
                <c:pt idx="0">
                  <c:v>-10040.3412132055</c:v>
                </c:pt>
                <c:pt idx="1">
                  <c:v>-18174.928858021</c:v>
                </c:pt>
                <c:pt idx="2">
                  <c:v>-22733.4930133685</c:v>
                </c:pt>
                <c:pt idx="3">
                  <c:v>-22030.8265036071</c:v>
                </c:pt>
                <c:pt idx="4">
                  <c:v>-14966.2065844048</c:v>
                </c:pt>
                <c:pt idx="5">
                  <c:v>-1004.9599797582</c:v>
                </c:pt>
                <c:pt idx="6">
                  <c:v>20079.3601359802</c:v>
                </c:pt>
                <c:pt idx="7">
                  <c:v>48380.9809366831</c:v>
                </c:pt>
                <c:pt idx="8">
                  <c:v>83942.5875753645</c:v>
                </c:pt>
                <c:pt idx="9">
                  <c:v>126787.501435288</c:v>
                </c:pt>
                <c:pt idx="10">
                  <c:v>176931.87552692</c:v>
                </c:pt>
                <c:pt idx="11">
                  <c:v>234389.230370336</c:v>
                </c:pt>
                <c:pt idx="12">
                  <c:v>299172.129414438</c:v>
                </c:pt>
                <c:pt idx="13">
                  <c:v>371292.796324518</c:v>
                </c:pt>
                <c:pt idx="14">
                  <c:v>450763.342214021</c:v>
                </c:pt>
                <c:pt idx="15">
                  <c:v>537595.849275668</c:v>
                </c:pt>
                <c:pt idx="16">
                  <c:v>631802.401570373</c:v>
                </c:pt>
                <c:pt idx="17">
                  <c:v>733395.096374676</c:v>
                </c:pt>
                <c:pt idx="18">
                  <c:v>842386.04837582</c:v>
                </c:pt>
                <c:pt idx="19">
                  <c:v>958787.391235613</c:v>
                </c:pt>
                <c:pt idx="20">
                  <c:v>1082611.27818636</c:v>
                </c:pt>
                <c:pt idx="21">
                  <c:v>1213869.88227076</c:v>
                </c:pt>
                <c:pt idx="22">
                  <c:v>1352575.39645078</c:v>
                </c:pt>
                <c:pt idx="23">
                  <c:v>1498740.03366852</c:v>
                </c:pt>
                <c:pt idx="24">
                  <c:v>1652376.02688925</c:v>
                </c:pt>
                <c:pt idx="25">
                  <c:v>1813495.62913812</c:v>
                </c:pt>
                <c:pt idx="26">
                  <c:v>1982111.1135344</c:v>
                </c:pt>
                <c:pt idx="27">
                  <c:v>2158234.77332499</c:v>
                </c:pt>
                <c:pt idx="28">
                  <c:v>2341878.92191759</c:v>
                </c:pt>
                <c:pt idx="29">
                  <c:v>2533055.89291388</c:v>
                </c:pt>
                <c:pt idx="30">
                  <c:v>2731778.04014259</c:v>
                </c:pt>
                <c:pt idx="31">
                  <c:v>2938057.73769276</c:v>
                </c:pt>
                <c:pt idx="32">
                  <c:v>3151907.37994691</c:v>
                </c:pt>
                <c:pt idx="33">
                  <c:v>3373339.38161435</c:v>
                </c:pt>
                <c:pt idx="34">
                  <c:v>3602366.17776453</c:v>
                </c:pt>
                <c:pt idx="35">
                  <c:v>3839000.2238604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795004"/>
        <c:axId val="92168631"/>
      </c:lineChart>
      <c:catAx>
        <c:axId val="637950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168631"/>
        <c:crosses val="autoZero"/>
        <c:auto val="1"/>
        <c:lblAlgn val="ctr"/>
        <c:lblOffset val="100"/>
        <c:noMultiLvlLbl val="0"/>
      </c:catAx>
      <c:valAx>
        <c:axId val="921686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7950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Customers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Summary!J21</c:f>
              <c:strCache>
                <c:ptCount val="1"/>
                <c:pt idx="0">
                  <c:v>Units Founder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Summary!$J$22:$J$57</c:f>
              <c:numCache>
                <c:formatCode>#,##0</c:formatCode>
                <c:ptCount val="36"/>
                <c:pt idx="0">
                  <c:v>0</c:v>
                </c:pt>
                <c:pt idx="1">
                  <c:v>0.53788284273999</c:v>
                </c:pt>
                <c:pt idx="2">
                  <c:v>1.52174635745779</c:v>
                </c:pt>
                <c:pt idx="3">
                  <c:v>2.93821112399407</c:v>
                </c:pt>
                <c:pt idx="4">
                  <c:v>4.61165894623001</c:v>
                </c:pt>
                <c:pt idx="5">
                  <c:v>6.37845743148798</c:v>
                </c:pt>
                <c:pt idx="6">
                  <c:v>8.15113128861915</c:v>
                </c:pt>
                <c:pt idx="7">
                  <c:v>9.89321164811201</c:v>
                </c:pt>
                <c:pt idx="8">
                  <c:v>11.5914700523554</c:v>
                </c:pt>
                <c:pt idx="9">
                  <c:v>13.2419038483959</c:v>
                </c:pt>
                <c:pt idx="10">
                  <c:v>14.8439760326831</c:v>
                </c:pt>
                <c:pt idx="11">
                  <c:v>16.3984099625506</c:v>
                </c:pt>
                <c:pt idx="12">
                  <c:v>17.9063668679367</c:v>
                </c:pt>
                <c:pt idx="13">
                  <c:v>19.3691424590549</c:v>
                </c:pt>
                <c:pt idx="14">
                  <c:v>20.7880558969341</c:v>
                </c:pt>
                <c:pt idx="15">
                  <c:v>22.1644096993775</c:v>
                </c:pt>
                <c:pt idx="16">
                  <c:v>23.4994757453401</c:v>
                </c:pt>
                <c:pt idx="17">
                  <c:v>24.7944908611754</c:v>
                </c:pt>
                <c:pt idx="18">
                  <c:v>26.0506559102698</c:v>
                </c:pt>
                <c:pt idx="19">
                  <c:v>27.269136150163</c:v>
                </c:pt>
                <c:pt idx="20">
                  <c:v>28.4510620351981</c:v>
                </c:pt>
                <c:pt idx="21">
                  <c:v>29.5975301629366</c:v>
                </c:pt>
                <c:pt idx="22">
                  <c:v>30.7096042539262</c:v>
                </c:pt>
                <c:pt idx="23">
                  <c:v>31.7883161247919</c:v>
                </c:pt>
                <c:pt idx="24">
                  <c:v>32.8346666404902</c:v>
                </c:pt>
                <c:pt idx="25">
                  <c:v>33.8496266410703</c:v>
                </c:pt>
                <c:pt idx="26">
                  <c:v>34.8341378417627</c:v>
                </c:pt>
                <c:pt idx="27">
                  <c:v>35.789113706482</c:v>
                </c:pt>
                <c:pt idx="28">
                  <c:v>36.7154402952774</c:v>
                </c:pt>
                <c:pt idx="29">
                  <c:v>37.6139770864153</c:v>
                </c:pt>
                <c:pt idx="30">
                  <c:v>38.4855577738214</c:v>
                </c:pt>
                <c:pt idx="31">
                  <c:v>39.3309910406063</c:v>
                </c:pt>
                <c:pt idx="32">
                  <c:v>40.1510613093879</c:v>
                </c:pt>
                <c:pt idx="33">
                  <c:v>40.9465294701062</c:v>
                </c:pt>
                <c:pt idx="34">
                  <c:v>41.718133586003</c:v>
                </c:pt>
                <c:pt idx="35">
                  <c:v>42.4665895784229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Summary!K21</c:f>
              <c:strCache>
                <c:ptCount val="1"/>
                <c:pt idx="0">
                  <c:v>Units Market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Summary!$K$22:$K$57</c:f>
              <c:numCache>
                <c:formatCode>#,##0</c:formatCode>
                <c:ptCount val="36"/>
                <c:pt idx="0">
                  <c:v>0</c:v>
                </c:pt>
                <c:pt idx="1">
                  <c:v>0.53788284273999</c:v>
                </c:pt>
                <c:pt idx="2">
                  <c:v>1.52174635745779</c:v>
                </c:pt>
                <c:pt idx="3">
                  <c:v>2.93821112399407</c:v>
                </c:pt>
                <c:pt idx="4">
                  <c:v>4.61165894623001</c:v>
                </c:pt>
                <c:pt idx="5">
                  <c:v>6.37845743148798</c:v>
                </c:pt>
                <c:pt idx="6">
                  <c:v>8.15113128861915</c:v>
                </c:pt>
                <c:pt idx="7">
                  <c:v>9.89321164811201</c:v>
                </c:pt>
                <c:pt idx="8">
                  <c:v>11.5914700523554</c:v>
                </c:pt>
                <c:pt idx="9">
                  <c:v>13.2419038483959</c:v>
                </c:pt>
                <c:pt idx="10">
                  <c:v>14.8439760326831</c:v>
                </c:pt>
                <c:pt idx="11">
                  <c:v>16.3984099625506</c:v>
                </c:pt>
                <c:pt idx="12">
                  <c:v>17.9063668679367</c:v>
                </c:pt>
                <c:pt idx="13">
                  <c:v>19.3691424590549</c:v>
                </c:pt>
                <c:pt idx="14">
                  <c:v>20.7880558969341</c:v>
                </c:pt>
                <c:pt idx="15">
                  <c:v>22.1644096993775</c:v>
                </c:pt>
                <c:pt idx="16">
                  <c:v>23.4994757453401</c:v>
                </c:pt>
                <c:pt idx="17">
                  <c:v>24.7944908611754</c:v>
                </c:pt>
                <c:pt idx="18">
                  <c:v>26.0506559102698</c:v>
                </c:pt>
                <c:pt idx="19">
                  <c:v>27.269136150163</c:v>
                </c:pt>
                <c:pt idx="20">
                  <c:v>28.4510620351981</c:v>
                </c:pt>
                <c:pt idx="21">
                  <c:v>29.5975301629366</c:v>
                </c:pt>
                <c:pt idx="22">
                  <c:v>30.7096042539262</c:v>
                </c:pt>
                <c:pt idx="23">
                  <c:v>31.7883161247919</c:v>
                </c:pt>
                <c:pt idx="24">
                  <c:v>32.8346666404902</c:v>
                </c:pt>
                <c:pt idx="25">
                  <c:v>33.8496266410703</c:v>
                </c:pt>
                <c:pt idx="26">
                  <c:v>34.8341378417627</c:v>
                </c:pt>
                <c:pt idx="27">
                  <c:v>35.789113706482</c:v>
                </c:pt>
                <c:pt idx="28">
                  <c:v>36.7154402952774</c:v>
                </c:pt>
                <c:pt idx="29">
                  <c:v>37.6139770864153</c:v>
                </c:pt>
                <c:pt idx="30">
                  <c:v>38.4855577738214</c:v>
                </c:pt>
                <c:pt idx="31">
                  <c:v>39.3309910406063</c:v>
                </c:pt>
                <c:pt idx="32">
                  <c:v>40.1510613093879</c:v>
                </c:pt>
                <c:pt idx="33">
                  <c:v>40.9465294701062</c:v>
                </c:pt>
                <c:pt idx="34">
                  <c:v>41.718133586003</c:v>
                </c:pt>
                <c:pt idx="35">
                  <c:v>42.4665895784229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Summary!L21</c:f>
              <c:strCache>
                <c:ptCount val="1"/>
                <c:pt idx="0">
                  <c:v>Units Pessimistic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Summary!$L$22:$L$57</c:f>
              <c:numCache>
                <c:formatCode>#,##0</c:formatCode>
                <c:ptCount val="36"/>
                <c:pt idx="0">
                  <c:v>0</c:v>
                </c:pt>
                <c:pt idx="1">
                  <c:v>0.268941421369995</c:v>
                </c:pt>
                <c:pt idx="2">
                  <c:v>0.757645881672455</c:v>
                </c:pt>
                <c:pt idx="3">
                  <c:v>1.45688333327222</c:v>
                </c:pt>
                <c:pt idx="4">
                  <c:v>2.27649131125267</c:v>
                </c:pt>
                <c:pt idx="5">
                  <c:v>3.13345280300249</c:v>
                </c:pt>
                <c:pt idx="6">
                  <c:v>3.98386157531429</c:v>
                </c:pt>
                <c:pt idx="7">
                  <c:v>4.80984653822681</c:v>
                </c:pt>
                <c:pt idx="8">
                  <c:v>5.60536036046465</c:v>
                </c:pt>
                <c:pt idx="9">
                  <c:v>6.36902417413073</c:v>
                </c:pt>
                <c:pt idx="10">
                  <c:v>7.10118980868677</c:v>
                </c:pt>
                <c:pt idx="11">
                  <c:v>7.80281644214594</c:v>
                </c:pt>
                <c:pt idx="12">
                  <c:v>8.47505275370711</c:v>
                </c:pt>
                <c:pt idx="13">
                  <c:v>9.11908383662956</c:v>
                </c:pt>
                <c:pt idx="14">
                  <c:v>9.73607617131652</c:v>
                </c:pt>
                <c:pt idx="15">
                  <c:v>10.3271587117969</c:v>
                </c:pt>
                <c:pt idx="16">
                  <c:v>10.8934172143734</c:v>
                </c:pt>
                <c:pt idx="17">
                  <c:v>11.4358933854675</c:v>
                </c:pt>
                <c:pt idx="18">
                  <c:v>11.9555857507427</c:v>
                </c:pt>
                <c:pt idx="19">
                  <c:v>12.4534511078122</c:v>
                </c:pt>
                <c:pt idx="20">
                  <c:v>12.9304061460541</c:v>
                </c:pt>
                <c:pt idx="21">
                  <c:v>13.387329082317</c:v>
                </c:pt>
                <c:pt idx="22">
                  <c:v>13.8250612587985</c:v>
                </c:pt>
                <c:pt idx="23">
                  <c:v>14.2444086851707</c:v>
                </c:pt>
                <c:pt idx="24">
                  <c:v>14.6461435201146</c:v>
                </c:pt>
                <c:pt idx="25">
                  <c:v>15.0310054921672</c:v>
                </c:pt>
                <c:pt idx="26">
                  <c:v>15.3997032614584</c:v>
                </c:pt>
                <c:pt idx="27">
                  <c:v>15.7529157244633</c:v>
                </c:pt>
                <c:pt idx="28">
                  <c:v>16.0912932640307</c:v>
                </c:pt>
                <c:pt idx="29">
                  <c:v>16.4154589469395</c:v>
                </c:pt>
                <c:pt idx="30">
                  <c:v>16.7260096711674</c:v>
                </c:pt>
                <c:pt idx="31">
                  <c:v>17.0235172649781</c:v>
                </c:pt>
                <c:pt idx="32">
                  <c:v>17.3085295398489</c:v>
                </c:pt>
                <c:pt idx="33">
                  <c:v>17.5815712991752</c:v>
                </c:pt>
                <c:pt idx="34">
                  <c:v>17.8431453046099</c:v>
                </c:pt>
                <c:pt idx="35">
                  <c:v>18.0937332018162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Summary!M21</c:f>
              <c:strCache>
                <c:ptCount val="1"/>
                <c:pt idx="0">
                  <c:v>Units Optimistic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Summary!$A$22:$A$57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Summary!$M$22:$M$57</c:f>
              <c:numCache>
                <c:formatCode>#,##0</c:formatCode>
                <c:ptCount val="36"/>
                <c:pt idx="0">
                  <c:v>0</c:v>
                </c:pt>
                <c:pt idx="1">
                  <c:v>0.806824264109985</c:v>
                </c:pt>
                <c:pt idx="2">
                  <c:v>2.29230142735601</c:v>
                </c:pt>
                <c:pt idx="3">
                  <c:v>4.44421573755361</c:v>
                </c:pt>
                <c:pt idx="4">
                  <c:v>7.00661108821129</c:v>
                </c:pt>
                <c:pt idx="5">
                  <c:v>9.73821446909079</c:v>
                </c:pt>
                <c:pt idx="6">
                  <c:v>12.5089679787609</c:v>
                </c:pt>
                <c:pt idx="7">
                  <c:v>15.2637280023703</c:v>
                </c:pt>
                <c:pt idx="8">
                  <c:v>17.9815630288578</c:v>
                </c:pt>
                <c:pt idx="9">
                  <c:v>20.6551617407551</c:v>
                </c:pt>
                <c:pt idx="10">
                  <c:v>23.2823627790301</c:v>
                </c:pt>
                <c:pt idx="11">
                  <c:v>25.8629100652796</c:v>
                </c:pt>
                <c:pt idx="12">
                  <c:v>28.3972414904985</c:v>
                </c:pt>
                <c:pt idx="13">
                  <c:v>30.886041039404</c:v>
                </c:pt>
                <c:pt idx="14">
                  <c:v>33.3300738681709</c:v>
                </c:pt>
                <c:pt idx="15">
                  <c:v>35.7301257575709</c:v>
                </c:pt>
                <c:pt idx="16">
                  <c:v>38.0869809993506</c:v>
                </c:pt>
                <c:pt idx="17">
                  <c:v>40.4014144236556</c:v>
                </c:pt>
                <c:pt idx="18">
                  <c:v>42.6741886264243</c:v>
                </c:pt>
                <c:pt idx="19">
                  <c:v>44.9060531069505</c:v>
                </c:pt>
                <c:pt idx="20">
                  <c:v>47.0977441053355</c:v>
                </c:pt>
                <c:pt idx="21">
                  <c:v>49.249984694631</c:v>
                </c:pt>
                <c:pt idx="22">
                  <c:v>51.3634849639442</c:v>
                </c:pt>
                <c:pt idx="23">
                  <c:v>53.4389422323185</c:v>
                </c:pt>
                <c:pt idx="24">
                  <c:v>55.4770412712999</c:v>
                </c:pt>
                <c:pt idx="25">
                  <c:v>57.4784545281086</c:v>
                </c:pt>
                <c:pt idx="26">
                  <c:v>59.4438423464894</c:v>
                </c:pt>
                <c:pt idx="27">
                  <c:v>61.3738531842109</c:v>
                </c:pt>
                <c:pt idx="28">
                  <c:v>63.2691238268798</c:v>
                </c:pt>
                <c:pt idx="29">
                  <c:v>65.1302795979903</c:v>
                </c:pt>
                <c:pt idx="30">
                  <c:v>66.9579345652244</c:v>
                </c:pt>
                <c:pt idx="31">
                  <c:v>68.7526917430496</c:v>
                </c:pt>
                <c:pt idx="32">
                  <c:v>70.5151432916745</c:v>
                </c:pt>
                <c:pt idx="33">
                  <c:v>72.2458707124242</c:v>
                </c:pt>
                <c:pt idx="34">
                  <c:v>73.9454450396005</c:v>
                </c:pt>
                <c:pt idx="35">
                  <c:v>75.6144270288877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602999"/>
        <c:axId val="29581291"/>
      </c:lineChart>
      <c:catAx>
        <c:axId val="66602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581291"/>
        <c:crosses val="autoZero"/>
        <c:auto val="1"/>
        <c:lblAlgn val="ctr"/>
        <c:lblOffset val="100"/>
        <c:noMultiLvlLbl val="0"/>
      </c:catAx>
      <c:valAx>
        <c:axId val="295812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60299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</xdr:row>
      <xdr:rowOff>0</xdr:rowOff>
    </xdr:from>
    <xdr:to>
      <xdr:col>22</xdr:col>
      <xdr:colOff>507600</xdr:colOff>
      <xdr:row>14</xdr:row>
      <xdr:rowOff>175320</xdr:rowOff>
    </xdr:to>
    <xdr:graphicFrame>
      <xdr:nvGraphicFramePr>
        <xdr:cNvPr id="1" name="Chart 1"/>
        <xdr:cNvGraphicFramePr/>
      </xdr:nvGraphicFramePr>
      <xdr:xfrm>
        <a:off x="15179040" y="6012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19</xdr:row>
      <xdr:rowOff>0</xdr:rowOff>
    </xdr:from>
    <xdr:to>
      <xdr:col>22</xdr:col>
      <xdr:colOff>507600</xdr:colOff>
      <xdr:row>33</xdr:row>
      <xdr:rowOff>32760</xdr:rowOff>
    </xdr:to>
    <xdr:graphicFrame>
      <xdr:nvGraphicFramePr>
        <xdr:cNvPr id="2" name="Chart 2"/>
        <xdr:cNvGraphicFramePr/>
      </xdr:nvGraphicFramePr>
      <xdr:xfrm>
        <a:off x="15179040" y="40780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35</xdr:row>
      <xdr:rowOff>0</xdr:rowOff>
    </xdr:from>
    <xdr:to>
      <xdr:col>22</xdr:col>
      <xdr:colOff>507600</xdr:colOff>
      <xdr:row>49</xdr:row>
      <xdr:rowOff>32400</xdr:rowOff>
    </xdr:to>
    <xdr:graphicFrame>
      <xdr:nvGraphicFramePr>
        <xdr:cNvPr id="3" name="Chart 3"/>
        <xdr:cNvGraphicFramePr/>
      </xdr:nvGraphicFramePr>
      <xdr:xfrm>
        <a:off x="15179040" y="71258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tr">
        <f aca="false">IF(ISNUMBER(Founder!B11),TEXT(Founder!B11,"0.0")&amp;"×","n/a")&amp;" | "&amp;IF(ISNUMBER(Market!B11),TEXT(Market!B11,"0.0")&amp;"×","n/a")</f>
        <v>156.9× | 290.3×</v>
      </c>
      <c r="B4" s="3"/>
      <c r="C4" s="3" t="str">
        <f aca="false">Founder!B12&amp;" | "&amp;Market!B12</f>
        <v>1 | 1</v>
      </c>
      <c r="D4" s="3"/>
      <c r="E4" s="3" t="str">
        <f aca="false">Founder!B53&amp;" | "&amp;Market!B53</f>
        <v>16 | 9</v>
      </c>
      <c r="F4" s="3"/>
      <c r="G4" s="3" t="str">
        <f aca="false">TEXT(Founder!B54,"#,##0")&amp;" | "&amp;TEXT(Market!B54,"#,##0")</f>
        <v>138,670 | 87,833</v>
      </c>
      <c r="H4" s="3"/>
      <c r="I4" s="3" t="str">
        <f aca="false">TEXT(Founder!F51,"#,##0")&amp;" | "&amp;TEXT(Market!F51,"#,##0")</f>
        <v>73,105 | 135,244</v>
      </c>
      <c r="J4" s="3"/>
      <c r="K4" s="4" t="n">
        <f aca="false">IF(Market!B4*Market!B10&gt;0,3*Market!B7/(Market!B10/Market!B3),0)</f>
        <v>28.6778633925593</v>
      </c>
      <c r="L4" s="4"/>
    </row>
    <row r="5" customFormat="false" ht="33.75" hidden="false" customHeight="true" outlineLevel="0" collapsed="false">
      <c r="A5" s="5" t="s">
        <v>2</v>
      </c>
      <c r="B5" s="5"/>
      <c r="C5" s="5" t="s">
        <v>3</v>
      </c>
      <c r="D5" s="5"/>
      <c r="E5" s="5" t="s">
        <v>4</v>
      </c>
      <c r="F5" s="5"/>
      <c r="G5" s="5" t="s">
        <v>5</v>
      </c>
      <c r="H5" s="5"/>
      <c r="I5" s="5" t="s">
        <v>6</v>
      </c>
      <c r="J5" s="5"/>
      <c r="K5" s="5" t="s">
        <v>7</v>
      </c>
      <c r="L5" s="5"/>
    </row>
    <row r="7" customFormat="false" ht="15" hidden="false" customHeight="false" outlineLevel="0" collapsed="false">
      <c r="A7" s="6" t="s">
        <v>8</v>
      </c>
      <c r="B7" s="6" t="s">
        <v>9</v>
      </c>
      <c r="C7" s="6" t="s">
        <v>10</v>
      </c>
      <c r="D7" s="6" t="s">
        <v>11</v>
      </c>
      <c r="E7" s="6" t="s">
        <v>12</v>
      </c>
    </row>
    <row r="8" customFormat="false" ht="15" hidden="false" customHeight="false" outlineLevel="0" collapsed="false">
      <c r="A8" s="0" t="s">
        <v>13</v>
      </c>
      <c r="B8" s="7" t="n">
        <f aca="false">Founder!B7</f>
        <v>175</v>
      </c>
      <c r="C8" s="7" t="n">
        <f aca="false">Market!B7</f>
        <v>175</v>
      </c>
      <c r="D8" s="7" t="n">
        <f aca="false">Pessimistic!B7</f>
        <v>300</v>
      </c>
      <c r="E8" s="7" t="n">
        <f aca="false">Optimistic!B7</f>
        <v>50</v>
      </c>
    </row>
    <row r="9" customFormat="false" ht="15" hidden="false" customHeight="false" outlineLevel="0" collapsed="false">
      <c r="A9" s="0" t="s">
        <v>14</v>
      </c>
      <c r="B9" s="7" t="n">
        <f aca="false">Founder!B10</f>
        <v>27460.2047307445</v>
      </c>
      <c r="C9" s="7" t="n">
        <f aca="false">Market!B10</f>
        <v>50801.3787518773</v>
      </c>
      <c r="D9" s="7" t="n">
        <f aca="false">Pessimistic!B10</f>
        <v>16276.5517004597</v>
      </c>
      <c r="E9" s="7" t="n">
        <f aca="false">Optimistic!B10</f>
        <v>151507.855111787</v>
      </c>
    </row>
    <row r="10" customFormat="false" ht="15" hidden="false" customHeight="false" outlineLevel="0" collapsed="false">
      <c r="A10" s="0" t="s">
        <v>15</v>
      </c>
      <c r="B10" s="8" t="n">
        <f aca="false">Founder!B11</f>
        <v>156.915455604254</v>
      </c>
      <c r="C10" s="8" t="n">
        <f aca="false">Market!B11</f>
        <v>290.29359286787</v>
      </c>
      <c r="D10" s="8" t="n">
        <f aca="false">Pessimistic!B11</f>
        <v>54.2551723348658</v>
      </c>
      <c r="E10" s="8" t="n">
        <f aca="false">Optimistic!B11</f>
        <v>3030.15710223575</v>
      </c>
    </row>
    <row r="11" customFormat="false" ht="15" hidden="false" customHeight="false" outlineLevel="0" collapsed="false">
      <c r="A11" s="0" t="s">
        <v>16</v>
      </c>
      <c r="B11" s="9" t="n">
        <f aca="false">Founder!B12</f>
        <v>1</v>
      </c>
      <c r="C11" s="9" t="n">
        <f aca="false">Market!B12</f>
        <v>1</v>
      </c>
      <c r="D11" s="9" t="n">
        <f aca="false">Pessimistic!B12</f>
        <v>1</v>
      </c>
      <c r="E11" s="9" t="n">
        <f aca="false">Optimistic!B12</f>
        <v>1</v>
      </c>
    </row>
    <row r="12" customFormat="false" ht="15" hidden="false" customHeight="false" outlineLevel="0" collapsed="false">
      <c r="A12" s="0" t="s">
        <v>17</v>
      </c>
      <c r="B12" s="10" t="n">
        <f aca="false">Founder!B4</f>
        <v>0.525</v>
      </c>
      <c r="C12" s="10" t="n">
        <f aca="false">Market!B4</f>
        <v>0.525</v>
      </c>
      <c r="D12" s="10" t="n">
        <f aca="false">Pessimistic!B4</f>
        <v>0.4</v>
      </c>
      <c r="E12" s="10" t="n">
        <f aca="false">Optimistic!B4</f>
        <v>0.65</v>
      </c>
    </row>
    <row r="13" customFormat="false" ht="15" hidden="false" customHeight="false" outlineLevel="0" collapsed="false">
      <c r="A13" s="0" t="s">
        <v>18</v>
      </c>
      <c r="B13" s="9" t="n">
        <f aca="false">Founder!B53</f>
        <v>16</v>
      </c>
      <c r="C13" s="9" t="n">
        <f aca="false">Market!B53</f>
        <v>9</v>
      </c>
      <c r="D13" s="9" t="str">
        <f aca="false">Pessimistic!B53</f>
        <v>none</v>
      </c>
      <c r="E13" s="9" t="n">
        <f aca="false">Optimistic!B53</f>
        <v>4</v>
      </c>
    </row>
    <row r="14" customFormat="false" ht="15" hidden="false" customHeight="false" outlineLevel="0" collapsed="false">
      <c r="A14" s="0" t="s">
        <v>19</v>
      </c>
      <c r="B14" s="7" t="n">
        <f aca="false">Founder!B54</f>
        <v>138670.087829196</v>
      </c>
      <c r="C14" s="7" t="n">
        <f aca="false">Market!B54</f>
        <v>87833.4655820584</v>
      </c>
      <c r="D14" s="7" t="n">
        <f aca="false">Pessimistic!B54</f>
        <v>592897.949830757</v>
      </c>
      <c r="E14" s="7" t="n">
        <f aca="false">Optimistic!B54</f>
        <v>22733.4930133685</v>
      </c>
    </row>
    <row r="15" customFormat="false" ht="15" hidden="false" customHeight="false" outlineLevel="0" collapsed="false">
      <c r="A15" s="0" t="s">
        <v>20</v>
      </c>
      <c r="B15" s="7" t="n">
        <f aca="false">Founder!F27</f>
        <v>25614.269881724</v>
      </c>
      <c r="C15" s="7" t="n">
        <f aca="false">Market!F27</f>
        <v>47386.3992811894</v>
      </c>
      <c r="D15" s="7" t="n">
        <f aca="false">Pessimistic!F27</f>
        <v>14435.21041797</v>
      </c>
      <c r="E15" s="7" t="n">
        <f aca="false">Optimistic!F27</f>
        <v>104011.304667286</v>
      </c>
    </row>
    <row r="16" customFormat="false" ht="15" hidden="false" customHeight="false" outlineLevel="0" collapsed="false">
      <c r="A16" s="0" t="s">
        <v>21</v>
      </c>
      <c r="B16" s="7" t="n">
        <f aca="false">Founder!F39</f>
        <v>52266.6103921371</v>
      </c>
      <c r="C16" s="7" t="n">
        <f aca="false">Market!F39</f>
        <v>96693.2292254536</v>
      </c>
      <c r="D16" s="7" t="n">
        <f aca="false">Pessimistic!F39</f>
        <v>26352.1560675659</v>
      </c>
      <c r="E16" s="7" t="n">
        <f aca="false">Optimistic!F39</f>
        <v>240484.057257992</v>
      </c>
    </row>
    <row r="17" customFormat="false" ht="15" hidden="false" customHeight="false" outlineLevel="0" collapsed="false">
      <c r="A17" s="0" t="s">
        <v>22</v>
      </c>
      <c r="B17" s="7" t="n">
        <f aca="false">Founder!F51</f>
        <v>73104.622067697</v>
      </c>
      <c r="C17" s="7" t="n">
        <f aca="false">Market!F51</f>
        <v>135243.55082524</v>
      </c>
      <c r="D17" s="7" t="n">
        <f aca="false">Pessimistic!F51</f>
        <v>33473.40642336</v>
      </c>
      <c r="E17" s="7" t="n">
        <f aca="false">Optimistic!F51</f>
        <v>379667.763224409</v>
      </c>
    </row>
    <row r="18" customFormat="false" ht="15" hidden="false" customHeight="false" outlineLevel="0" collapsed="false">
      <c r="A18" s="0" t="s">
        <v>23</v>
      </c>
      <c r="B18" s="11" t="n">
        <f aca="false">Founder!D51</f>
        <v>42.4665895784229</v>
      </c>
      <c r="C18" s="11" t="n">
        <f aca="false">Market!D51</f>
        <v>42.4665895784229</v>
      </c>
      <c r="D18" s="11" t="n">
        <f aca="false">Pessimistic!D51</f>
        <v>18.0937332018162</v>
      </c>
      <c r="E18" s="11" t="n">
        <f aca="false">Optimistic!D51</f>
        <v>75.6144270288877</v>
      </c>
    </row>
    <row r="21" customFormat="false" ht="15" hidden="false" customHeight="false" outlineLevel="0" collapsed="false">
      <c r="A21" s="12" t="s">
        <v>24</v>
      </c>
      <c r="B21" s="12" t="s">
        <v>25</v>
      </c>
      <c r="C21" s="12" t="s">
        <v>26</v>
      </c>
      <c r="D21" s="12" t="s">
        <v>27</v>
      </c>
      <c r="E21" s="12" t="s">
        <v>28</v>
      </c>
      <c r="F21" s="12" t="s">
        <v>29</v>
      </c>
      <c r="G21" s="12" t="s">
        <v>30</v>
      </c>
      <c r="H21" s="12" t="s">
        <v>31</v>
      </c>
      <c r="I21" s="12" t="s">
        <v>32</v>
      </c>
      <c r="J21" s="12" t="s">
        <v>33</v>
      </c>
      <c r="K21" s="12" t="s">
        <v>34</v>
      </c>
      <c r="L21" s="12" t="s">
        <v>35</v>
      </c>
      <c r="M21" s="12" t="s">
        <v>36</v>
      </c>
    </row>
    <row r="22" customFormat="false" ht="15" hidden="false" customHeight="false" outlineLevel="0" collapsed="false">
      <c r="A22" s="0" t="n">
        <v>1</v>
      </c>
      <c r="B22" s="13" t="n">
        <f aca="false">Founder!F16</f>
        <v>0</v>
      </c>
      <c r="C22" s="13" t="n">
        <f aca="false">Market!F16</f>
        <v>0</v>
      </c>
      <c r="D22" s="13" t="n">
        <f aca="false">Pessimistic!F16</f>
        <v>0</v>
      </c>
      <c r="E22" s="13" t="n">
        <f aca="false">Optimistic!F16</f>
        <v>0</v>
      </c>
      <c r="F22" s="13" t="n">
        <f aca="false">Founder!K16</f>
        <v>-17094.1294974795</v>
      </c>
      <c r="G22" s="13" t="n">
        <f aca="false">Market!K16</f>
        <v>-17094.1294974795</v>
      </c>
      <c r="H22" s="13" t="n">
        <f aca="false">Pessimistic!K16</f>
        <v>-24080.682426411</v>
      </c>
      <c r="I22" s="13" t="n">
        <f aca="false">Optimistic!K16</f>
        <v>-10040.3412132055</v>
      </c>
      <c r="J22" s="14" t="n">
        <f aca="false">Founder!D16</f>
        <v>0</v>
      </c>
      <c r="K22" s="14" t="n">
        <f aca="false">Market!D16</f>
        <v>0</v>
      </c>
      <c r="L22" s="14" t="n">
        <f aca="false">Pessimistic!D16</f>
        <v>0</v>
      </c>
      <c r="M22" s="14" t="n">
        <f aca="false">Optimistic!D16</f>
        <v>0</v>
      </c>
    </row>
    <row r="23" customFormat="false" ht="15" hidden="false" customHeight="false" outlineLevel="0" collapsed="false">
      <c r="A23" s="0" t="n">
        <v>2</v>
      </c>
      <c r="B23" s="13" t="n">
        <f aca="false">Founder!F17</f>
        <v>806.824264109985</v>
      </c>
      <c r="C23" s="13" t="n">
        <f aca="false">Market!F17</f>
        <v>1492.62488860347</v>
      </c>
      <c r="D23" s="13" t="n">
        <f aca="false">Pessimistic!F17</f>
        <v>497.541629534491</v>
      </c>
      <c r="E23" s="13" t="n">
        <f aca="false">Optimistic!F17</f>
        <v>2985.24977720695</v>
      </c>
      <c r="F23" s="13" t="n">
        <f aca="false">Founder!K17</f>
        <v>-33845.5467588218</v>
      </c>
      <c r="G23" s="13" t="n">
        <f aca="false">Market!K17</f>
        <v>-33485.5014309627</v>
      </c>
      <c r="H23" s="13" t="n">
        <f aca="false">Pessimistic!K17</f>
        <v>-48031.6657745972</v>
      </c>
      <c r="I23" s="13" t="n">
        <f aca="false">Optimistic!K17</f>
        <v>-18174.928858021</v>
      </c>
      <c r="J23" s="14" t="n">
        <f aca="false">Founder!D17</f>
        <v>0.53788284273999</v>
      </c>
      <c r="K23" s="14" t="n">
        <f aca="false">Market!D17</f>
        <v>0.53788284273999</v>
      </c>
      <c r="L23" s="14" t="n">
        <f aca="false">Pessimistic!D17</f>
        <v>0.268941421369995</v>
      </c>
      <c r="M23" s="14" t="n">
        <f aca="false">Optimistic!D17</f>
        <v>0.806824264109985</v>
      </c>
    </row>
    <row r="24" customFormat="false" ht="15" hidden="false" customHeight="false" outlineLevel="0" collapsed="false">
      <c r="A24" s="0" t="n">
        <v>3</v>
      </c>
      <c r="B24" s="13" t="n">
        <f aca="false">Founder!F18</f>
        <v>2290.44573154855</v>
      </c>
      <c r="C24" s="13" t="n">
        <f aca="false">Market!F18</f>
        <v>4237.32460336482</v>
      </c>
      <c r="D24" s="13" t="n">
        <f aca="false">Pessimistic!F18</f>
        <v>1401.64488109404</v>
      </c>
      <c r="E24" s="13" t="n">
        <f aca="false">Optimistic!F18</f>
        <v>8540.14558684157</v>
      </c>
      <c r="F24" s="13" t="n">
        <f aca="false">Founder!K18</f>
        <v>-49898.9332522793</v>
      </c>
      <c r="G24" s="13" t="n">
        <f aca="false">Market!K18</f>
        <v>-48516.7765167166</v>
      </c>
      <c r="H24" s="13" t="n">
        <f aca="false">Pessimistic!K18</f>
        <v>-71690.3253957486</v>
      </c>
      <c r="I24" s="13" t="n">
        <f aca="false">Optimistic!K18</f>
        <v>-22733.4930133685</v>
      </c>
      <c r="J24" s="14" t="n">
        <f aca="false">Founder!D18</f>
        <v>1.52174635745779</v>
      </c>
      <c r="K24" s="14" t="n">
        <f aca="false">Market!D18</f>
        <v>1.52174635745779</v>
      </c>
      <c r="L24" s="14" t="n">
        <f aca="false">Pessimistic!D18</f>
        <v>0.757645881672455</v>
      </c>
      <c r="M24" s="14" t="n">
        <f aca="false">Optimistic!D18</f>
        <v>2.29230142735601</v>
      </c>
    </row>
    <row r="25" customFormat="false" ht="15" hidden="false" customHeight="false" outlineLevel="0" collapsed="false">
      <c r="A25" s="0" t="n">
        <v>4</v>
      </c>
      <c r="B25" s="13" t="n">
        <f aca="false">Founder!F19</f>
        <v>4437.12541908813</v>
      </c>
      <c r="C25" s="13" t="n">
        <f aca="false">Market!F19</f>
        <v>8208.68202531304</v>
      </c>
      <c r="D25" s="13" t="n">
        <f aca="false">Pessimistic!F19</f>
        <v>2695.2341665536</v>
      </c>
      <c r="E25" s="13" t="n">
        <f aca="false">Optimistic!F19</f>
        <v>16668.901648397</v>
      </c>
      <c r="F25" s="13" t="n">
        <f aca="false">Founder!K19</f>
        <v>-64877.7213845503</v>
      </c>
      <c r="G25" s="13" t="n">
        <f aca="false">Market!K19</f>
        <v>-61515.4974307196</v>
      </c>
      <c r="H25" s="13" t="n">
        <f aca="false">Pessimistic!K19</f>
        <v>-94876.4708525205</v>
      </c>
      <c r="I25" s="13" t="n">
        <f aca="false">Optimistic!K19</f>
        <v>-22030.8265036071</v>
      </c>
      <c r="J25" s="14" t="n">
        <f aca="false">Founder!D19</f>
        <v>2.93821112399407</v>
      </c>
      <c r="K25" s="14" t="n">
        <f aca="false">Market!D19</f>
        <v>2.93821112399407</v>
      </c>
      <c r="L25" s="14" t="n">
        <f aca="false">Pessimistic!D19</f>
        <v>1.45688333327222</v>
      </c>
      <c r="M25" s="14" t="n">
        <f aca="false">Optimistic!D19</f>
        <v>4.44421573755361</v>
      </c>
    </row>
    <row r="26" customFormat="false" ht="15" hidden="false" customHeight="false" outlineLevel="0" collapsed="false">
      <c r="A26" s="0" t="n">
        <v>5</v>
      </c>
      <c r="B26" s="13" t="n">
        <f aca="false">Founder!F20</f>
        <v>6989.44300701429</v>
      </c>
      <c r="C26" s="13" t="n">
        <f aca="false">Market!F20</f>
        <v>12930.4695629764</v>
      </c>
      <c r="D26" s="13" t="n">
        <f aca="false">Pessimistic!F20</f>
        <v>4211.50892581743</v>
      </c>
      <c r="E26" s="13" t="n">
        <f aca="false">Optimistic!F20</f>
        <v>26473.0862126549</v>
      </c>
      <c r="F26" s="13" t="n">
        <f aca="false">Founder!K20</f>
        <v>-78541.6647502556</v>
      </c>
      <c r="G26" s="13" t="n">
        <f aca="false">Market!K20</f>
        <v>-72060.4018545448</v>
      </c>
      <c r="H26" s="13" t="n">
        <f aca="false">Pessimistic!K20</f>
        <v>-117477.63952024</v>
      </c>
      <c r="I26" s="13" t="n">
        <f aca="false">Optimistic!K20</f>
        <v>-14966.2065844048</v>
      </c>
      <c r="J26" s="14" t="n">
        <f aca="false">Founder!D20</f>
        <v>4.61165894623001</v>
      </c>
      <c r="K26" s="14" t="n">
        <f aca="false">Market!D20</f>
        <v>4.61165894623001</v>
      </c>
      <c r="L26" s="14" t="n">
        <f aca="false">Pessimistic!D20</f>
        <v>2.27649131125267</v>
      </c>
      <c r="M26" s="14" t="n">
        <f aca="false">Optimistic!D20</f>
        <v>7.00661108821129</v>
      </c>
    </row>
    <row r="27" customFormat="false" ht="15" hidden="false" customHeight="false" outlineLevel="0" collapsed="false">
      <c r="A27" s="0" t="n">
        <v>6</v>
      </c>
      <c r="B27" s="13" t="n">
        <f aca="false">Founder!F21</f>
        <v>9705.2796944392</v>
      </c>
      <c r="C27" s="13" t="n">
        <f aca="false">Market!F21</f>
        <v>17954.7674347125</v>
      </c>
      <c r="D27" s="13" t="n">
        <f aca="false">Pessimistic!F21</f>
        <v>5796.8876855546</v>
      </c>
      <c r="E27" s="13" t="n">
        <f aca="false">Optimistic!F21</f>
        <v>37090.0748817727</v>
      </c>
      <c r="F27" s="13" t="n">
        <f aca="false">Founder!K21</f>
        <v>-90790.0977371883</v>
      </c>
      <c r="G27" s="13" t="n">
        <f aca="false">Market!K21</f>
        <v>-79977.853777834</v>
      </c>
      <c r="H27" s="13" t="n">
        <f aca="false">Pessimistic!K21</f>
        <v>-139453.48858303</v>
      </c>
      <c r="I27" s="13" t="n">
        <f aca="false">Optimistic!K21</f>
        <v>-1004.9599797582</v>
      </c>
      <c r="J27" s="14" t="n">
        <f aca="false">Founder!D21</f>
        <v>6.37845743148798</v>
      </c>
      <c r="K27" s="14" t="n">
        <f aca="false">Market!D21</f>
        <v>6.37845743148798</v>
      </c>
      <c r="L27" s="14" t="n">
        <f aca="false">Pessimistic!D21</f>
        <v>3.13345280300249</v>
      </c>
      <c r="M27" s="14" t="n">
        <f aca="false">Optimistic!D21</f>
        <v>9.73821446909079</v>
      </c>
    </row>
    <row r="28" customFormat="false" ht="15" hidden="false" customHeight="false" outlineLevel="0" collapsed="false">
      <c r="A28" s="0" t="n">
        <v>7</v>
      </c>
      <c r="B28" s="13" t="n">
        <f aca="false">Founder!F22</f>
        <v>12454.3038867558</v>
      </c>
      <c r="C28" s="13" t="n">
        <f aca="false">Market!F22</f>
        <v>23040.4621904983</v>
      </c>
      <c r="D28" s="13" t="n">
        <f aca="false">Pessimistic!F22</f>
        <v>7370.14391433144</v>
      </c>
      <c r="E28" s="13" t="n">
        <f aca="false">Optimistic!F22</f>
        <v>48051.2556739996</v>
      </c>
      <c r="F28" s="13" t="n">
        <f aca="false">Founder!K22</f>
        <v>-101599.245698818</v>
      </c>
      <c r="G28" s="13" t="n">
        <f aca="false">Market!K22</f>
        <v>-85229.2686299989</v>
      </c>
      <c r="H28" s="13" t="n">
        <f aca="false">Pessimistic!K22</f>
        <v>-160803.42316202</v>
      </c>
      <c r="I28" s="13" t="n">
        <f aca="false">Optimistic!K22</f>
        <v>20079.3601359802</v>
      </c>
      <c r="J28" s="14" t="n">
        <f aca="false">Founder!D22</f>
        <v>8.15113128861915</v>
      </c>
      <c r="K28" s="14" t="n">
        <f aca="false">Market!D22</f>
        <v>8.15113128861915</v>
      </c>
      <c r="L28" s="14" t="n">
        <f aca="false">Pessimistic!D22</f>
        <v>3.98386157531429</v>
      </c>
      <c r="M28" s="14" t="n">
        <f aca="false">Optimistic!D22</f>
        <v>12.5089679787609</v>
      </c>
    </row>
    <row r="29" customFormat="false" ht="15" hidden="false" customHeight="false" outlineLevel="0" collapsed="false">
      <c r="A29" s="0" t="n">
        <v>8</v>
      </c>
      <c r="B29" s="13" t="n">
        <f aca="false">Founder!F23</f>
        <v>15181.4029650818</v>
      </c>
      <c r="C29" s="13" t="n">
        <f aca="false">Market!F23</f>
        <v>28085.5954854014</v>
      </c>
      <c r="D29" s="13" t="n">
        <f aca="false">Pessimistic!F23</f>
        <v>8898.21609571959</v>
      </c>
      <c r="E29" s="13" t="n">
        <f aca="false">Optimistic!F23</f>
        <v>59155.7690880454</v>
      </c>
      <c r="F29" s="13" t="n">
        <f aca="false">Founder!K23</f>
        <v>-110978.143724045</v>
      </c>
      <c r="G29" s="13" t="n">
        <f aca="false">Market!K23</f>
        <v>-87833.4655820584</v>
      </c>
      <c r="H29" s="13" t="n">
        <f aca="false">Pessimistic!K23</f>
        <v>-181543.394936785</v>
      </c>
      <c r="I29" s="13" t="n">
        <f aca="false">Optimistic!K23</f>
        <v>48380.9809366831</v>
      </c>
      <c r="J29" s="14" t="n">
        <f aca="false">Founder!D23</f>
        <v>9.89321164811201</v>
      </c>
      <c r="K29" s="14" t="n">
        <f aca="false">Market!D23</f>
        <v>9.89321164811201</v>
      </c>
      <c r="L29" s="14" t="n">
        <f aca="false">Pessimistic!D23</f>
        <v>4.80984653822681</v>
      </c>
      <c r="M29" s="14" t="n">
        <f aca="false">Optimistic!D23</f>
        <v>15.2637280023703</v>
      </c>
    </row>
    <row r="30" customFormat="false" ht="15" hidden="false" customHeight="false" outlineLevel="0" collapsed="false">
      <c r="A30" s="0" t="n">
        <v>9</v>
      </c>
      <c r="B30" s="13" t="n">
        <f aca="false">Founder!F24</f>
        <v>17865.8026154207</v>
      </c>
      <c r="C30" s="13" t="n">
        <f aca="false">Market!F24</f>
        <v>33051.7348385284</v>
      </c>
      <c r="D30" s="13" t="n">
        <f aca="false">Pessimistic!F24</f>
        <v>10369.9166668596</v>
      </c>
      <c r="E30" s="13" t="n">
        <f aca="false">Optimistic!F24</f>
        <v>70325.3384323111</v>
      </c>
      <c r="F30" s="13" t="n">
        <f aca="false">Founder!K24</f>
        <v>-118948.278483031</v>
      </c>
      <c r="G30" s="13" t="n">
        <f aca="false">Market!K24</f>
        <v>-87830.9859239129</v>
      </c>
      <c r="H30" s="13" t="n">
        <f aca="false">Pessimistic!K24</f>
        <v>-201695.154954683</v>
      </c>
      <c r="I30" s="13" t="n">
        <f aca="false">Optimistic!K24</f>
        <v>83942.5875753645</v>
      </c>
      <c r="J30" s="14" t="n">
        <f aca="false">Founder!D24</f>
        <v>11.5914700523554</v>
      </c>
      <c r="K30" s="14" t="n">
        <f aca="false">Market!D24</f>
        <v>11.5914700523554</v>
      </c>
      <c r="L30" s="14" t="n">
        <f aca="false">Pessimistic!D24</f>
        <v>5.60536036046465</v>
      </c>
      <c r="M30" s="14" t="n">
        <f aca="false">Optimistic!D24</f>
        <v>17.9815630288578</v>
      </c>
    </row>
    <row r="31" customFormat="false" ht="15" hidden="false" customHeight="false" outlineLevel="0" collapsed="false">
      <c r="A31" s="0" t="n">
        <v>10</v>
      </c>
      <c r="B31" s="13" t="n">
        <f aca="false">Founder!F25</f>
        <v>20500.3936687445</v>
      </c>
      <c r="C31" s="13" t="n">
        <f aca="false">Market!F25</f>
        <v>37925.7282871773</v>
      </c>
      <c r="D31" s="13" t="n">
        <f aca="false">Pessimistic!F25</f>
        <v>11782.6947221419</v>
      </c>
      <c r="E31" s="13" t="n">
        <f aca="false">Optimistic!F25</f>
        <v>81530.5593190822</v>
      </c>
      <c r="F31" s="13" t="n">
        <f aca="false">Founder!K25</f>
        <v>-125535.454434395</v>
      </c>
      <c r="G31" s="13" t="n">
        <f aca="false">Market!K25</f>
        <v>-85269.8612005992</v>
      </c>
      <c r="H31" s="13" t="n">
        <f aca="false">Pessimistic!K25</f>
        <v>-221281.976460787</v>
      </c>
      <c r="I31" s="13" t="n">
        <f aca="false">Optimistic!K25</f>
        <v>126787.501435288</v>
      </c>
      <c r="J31" s="14" t="n">
        <f aca="false">Founder!D25</f>
        <v>13.2419038483959</v>
      </c>
      <c r="K31" s="14" t="n">
        <f aca="false">Market!D25</f>
        <v>13.2419038483959</v>
      </c>
      <c r="L31" s="14" t="n">
        <f aca="false">Pessimistic!D25</f>
        <v>6.36902417413073</v>
      </c>
      <c r="M31" s="14" t="n">
        <f aca="false">Optimistic!D25</f>
        <v>20.6551617407551</v>
      </c>
    </row>
    <row r="32" customFormat="false" ht="15" hidden="false" customHeight="false" outlineLevel="0" collapsed="false">
      <c r="A32" s="0" t="n">
        <v>11</v>
      </c>
      <c r="B32" s="13" t="n">
        <f aca="false">Founder!F26</f>
        <v>23083.2296268776</v>
      </c>
      <c r="C32" s="13" t="n">
        <f aca="false">Market!F26</f>
        <v>42703.9748097235</v>
      </c>
      <c r="D32" s="13" t="n">
        <f aca="false">Pessimistic!F26</f>
        <v>13137.2011460705</v>
      </c>
      <c r="E32" s="13" t="n">
        <f aca="false">Optimistic!F26</f>
        <v>92760.5470499174</v>
      </c>
      <c r="F32" s="13" t="n">
        <f aca="false">Founder!K26</f>
        <v>-130766.715692182</v>
      </c>
      <c r="G32" s="13" t="n">
        <f aca="false">Market!K26</f>
        <v>-80200.2312373927</v>
      </c>
      <c r="H32" s="13" t="n">
        <f aca="false">Pessimistic!K26</f>
        <v>-240327.058983986</v>
      </c>
      <c r="I32" s="13" t="n">
        <f aca="false">Optimistic!K26</f>
        <v>176931.87552692</v>
      </c>
      <c r="J32" s="14" t="n">
        <f aca="false">Founder!D26</f>
        <v>14.8439760326831</v>
      </c>
      <c r="K32" s="14" t="n">
        <f aca="false">Market!D26</f>
        <v>14.8439760326831</v>
      </c>
      <c r="L32" s="14" t="n">
        <f aca="false">Pessimistic!D26</f>
        <v>7.10118980868677</v>
      </c>
      <c r="M32" s="14" t="n">
        <f aca="false">Optimistic!D26</f>
        <v>23.2823627790301</v>
      </c>
    </row>
    <row r="33" customFormat="false" ht="15" hidden="false" customHeight="false" outlineLevel="0" collapsed="false">
      <c r="A33" s="0" t="n">
        <v>12</v>
      </c>
      <c r="B33" s="13" t="n">
        <f aca="false">Founder!F27</f>
        <v>25614.269881724</v>
      </c>
      <c r="C33" s="13" t="n">
        <f aca="false">Market!F27</f>
        <v>47386.3992811894</v>
      </c>
      <c r="D33" s="13" t="n">
        <f aca="false">Pessimistic!F27</f>
        <v>14435.21041797</v>
      </c>
      <c r="E33" s="13" t="n">
        <f aca="false">Optimistic!F27</f>
        <v>104011.304667286</v>
      </c>
      <c r="F33" s="13" t="n">
        <f aca="false">Founder!K27</f>
        <v>-134669.208115023</v>
      </c>
      <c r="G33" s="13" t="n">
        <f aca="false">Market!K27</f>
        <v>-72672.3557255142</v>
      </c>
      <c r="H33" s="13" t="n">
        <f aca="false">Pessimistic!K27</f>
        <v>-258852.961197437</v>
      </c>
      <c r="I33" s="13" t="n">
        <f aca="false">Optimistic!K27</f>
        <v>234389.230370336</v>
      </c>
      <c r="J33" s="14" t="n">
        <f aca="false">Founder!D27</f>
        <v>16.3984099625506</v>
      </c>
      <c r="K33" s="14" t="n">
        <f aca="false">Market!D27</f>
        <v>16.3984099625506</v>
      </c>
      <c r="L33" s="14" t="n">
        <f aca="false">Pessimistic!D27</f>
        <v>7.80281644214594</v>
      </c>
      <c r="M33" s="14" t="n">
        <f aca="false">Optimistic!D27</f>
        <v>25.8629100652796</v>
      </c>
    </row>
    <row r="34" customFormat="false" ht="15" hidden="false" customHeight="false" outlineLevel="0" collapsed="false">
      <c r="A34" s="0" t="n">
        <v>13</v>
      </c>
      <c r="B34" s="13" t="n">
        <f aca="false">Founder!F28</f>
        <v>28094.1640095189</v>
      </c>
      <c r="C34" s="13" t="n">
        <f aca="false">Market!F28</f>
        <v>51974.20341761</v>
      </c>
      <c r="D34" s="13" t="n">
        <f aca="false">Pessimistic!F28</f>
        <v>15678.8475943582</v>
      </c>
      <c r="E34" s="13" t="n">
        <f aca="false">Optimistic!F28</f>
        <v>115281.379290598</v>
      </c>
      <c r="F34" s="13" t="n">
        <f aca="false">Founder!K28</f>
        <v>-137269.766164528</v>
      </c>
      <c r="G34" s="13" t="n">
        <f aca="false">Market!K28</f>
        <v>-62735.8930857713</v>
      </c>
      <c r="H34" s="13" t="n">
        <f aca="false">Pessimistic!K28</f>
        <v>-276881.417149268</v>
      </c>
      <c r="I34" s="13" t="n">
        <f aca="false">Optimistic!K28</f>
        <v>299172.129414438</v>
      </c>
      <c r="J34" s="14" t="n">
        <f aca="false">Founder!D28</f>
        <v>17.9063668679367</v>
      </c>
      <c r="K34" s="14" t="n">
        <f aca="false">Market!D28</f>
        <v>17.9063668679367</v>
      </c>
      <c r="L34" s="14" t="n">
        <f aca="false">Pessimistic!D28</f>
        <v>8.47505275370711</v>
      </c>
      <c r="M34" s="14" t="n">
        <f aca="false">Optimistic!D28</f>
        <v>28.3972414904985</v>
      </c>
    </row>
    <row r="35" customFormat="false" ht="15" hidden="false" customHeight="false" outlineLevel="0" collapsed="false">
      <c r="A35" s="0" t="n">
        <v>14</v>
      </c>
      <c r="B35" s="13" t="n">
        <f aca="false">Founder!F29</f>
        <v>30523.8023758601</v>
      </c>
      <c r="C35" s="13" t="n">
        <f aca="false">Market!F29</f>
        <v>56469.0343953413</v>
      </c>
      <c r="D35" s="13" t="n">
        <f aca="false">Pessimistic!F29</f>
        <v>16870.3050977647</v>
      </c>
      <c r="E35" s="13" t="n">
        <f aca="false">Optimistic!F29</f>
        <v>126570.255366852</v>
      </c>
      <c r="F35" s="13" t="n">
        <f aca="false">Founder!K29</f>
        <v>-138594.767766741</v>
      </c>
      <c r="G35" s="13" t="n">
        <f aca="false">Market!K29</f>
        <v>-50439.6478777561</v>
      </c>
      <c r="H35" s="13" t="n">
        <f aca="false">Pessimistic!K29</f>
        <v>-294433.293266909</v>
      </c>
      <c r="I35" s="13" t="n">
        <f aca="false">Optimistic!K29</f>
        <v>371292.796324518</v>
      </c>
      <c r="J35" s="14" t="n">
        <f aca="false">Founder!D29</f>
        <v>19.3691424590549</v>
      </c>
      <c r="K35" s="14" t="n">
        <f aca="false">Market!D29</f>
        <v>19.3691424590549</v>
      </c>
      <c r="L35" s="14" t="n">
        <f aca="false">Pessimistic!D29</f>
        <v>9.11908383662956</v>
      </c>
      <c r="M35" s="14" t="n">
        <f aca="false">Optimistic!D29</f>
        <v>30.886041039404</v>
      </c>
    </row>
    <row r="36" customFormat="false" ht="15" hidden="false" customHeight="false" outlineLevel="0" collapsed="false">
      <c r="A36" s="0" t="n">
        <v>15</v>
      </c>
      <c r="B36" s="13" t="n">
        <f aca="false">Founder!F30</f>
        <v>32904.1507551064</v>
      </c>
      <c r="C36" s="13" t="n">
        <f aca="false">Market!F30</f>
        <v>60872.6788969468</v>
      </c>
      <c r="D36" s="13" t="n">
        <f aca="false">Pessimistic!F30</f>
        <v>18011.7409169356</v>
      </c>
      <c r="E36" s="13" t="n">
        <f aca="false">Optimistic!F30</f>
        <v>137877.762385315</v>
      </c>
      <c r="F36" s="13" t="n">
        <f aca="false">Founder!K30</f>
        <v>-138670.087829196</v>
      </c>
      <c r="G36" s="13" t="n">
        <f aca="false">Market!K30</f>
        <v>-35831.4906657455</v>
      </c>
      <c r="H36" s="13" t="n">
        <f aca="false">Pessimistic!K30</f>
        <v>-311528.596222038</v>
      </c>
      <c r="I36" s="13" t="n">
        <f aca="false">Optimistic!K30</f>
        <v>450763.342214021</v>
      </c>
      <c r="J36" s="14" t="n">
        <f aca="false">Founder!D30</f>
        <v>20.7880558969341</v>
      </c>
      <c r="K36" s="14" t="n">
        <f aca="false">Market!D30</f>
        <v>20.7880558969341</v>
      </c>
      <c r="L36" s="14" t="n">
        <f aca="false">Pessimistic!D30</f>
        <v>9.73607617131652</v>
      </c>
      <c r="M36" s="14" t="n">
        <f aca="false">Optimistic!D30</f>
        <v>33.3300738681709</v>
      </c>
    </row>
    <row r="37" customFormat="false" ht="15" hidden="false" customHeight="false" outlineLevel="0" collapsed="false">
      <c r="A37" s="0" t="n">
        <v>16</v>
      </c>
      <c r="B37" s="13" t="n">
        <f aca="false">Founder!F31</f>
        <v>35236.1897138048</v>
      </c>
      <c r="C37" s="13" t="n">
        <f aca="false">Market!F31</f>
        <v>65186.9509705389</v>
      </c>
      <c r="D37" s="13" t="n">
        <f aca="false">Pessimistic!F31</f>
        <v>19105.2436168243</v>
      </c>
      <c r="E37" s="13" t="n">
        <f aca="false">Optimistic!F31</f>
        <v>149203.856826027</v>
      </c>
      <c r="F37" s="13" t="n">
        <f aca="false">Founder!K31</f>
        <v>-137521.087938414</v>
      </c>
      <c r="G37" s="13" t="n">
        <f aca="false">Market!K31</f>
        <v>-18958.3411151777</v>
      </c>
      <c r="H37" s="13" t="n">
        <f aca="false">Pessimistic!K31</f>
        <v>-328186.49852585</v>
      </c>
      <c r="I37" s="13" t="n">
        <f aca="false">Optimistic!K31</f>
        <v>537595.849275668</v>
      </c>
      <c r="J37" s="14" t="n">
        <f aca="false">Founder!D31</f>
        <v>22.1644096993775</v>
      </c>
      <c r="K37" s="14" t="n">
        <f aca="false">Market!D31</f>
        <v>22.1644096993775</v>
      </c>
      <c r="L37" s="14" t="n">
        <f aca="false">Pessimistic!D31</f>
        <v>10.3271587117969</v>
      </c>
      <c r="M37" s="14" t="n">
        <f aca="false">Optimistic!D31</f>
        <v>35.7301257575709</v>
      </c>
    </row>
    <row r="38" customFormat="false" ht="15" hidden="false" customHeight="false" outlineLevel="0" collapsed="false">
      <c r="A38" s="0" t="n">
        <v>17</v>
      </c>
      <c r="B38" s="13" t="n">
        <f aca="false">Founder!F32</f>
        <v>37520.8925680305</v>
      </c>
      <c r="C38" s="13" t="n">
        <f aca="false">Market!F32</f>
        <v>69413.6512508564</v>
      </c>
      <c r="D38" s="13" t="n">
        <f aca="false">Pessimistic!F32</f>
        <v>20152.8218465908</v>
      </c>
      <c r="E38" s="13" t="n">
        <f aca="false">Optimistic!F32</f>
        <v>160548.541921261</v>
      </c>
      <c r="F38" s="13" t="n">
        <f aca="false">Founder!K32</f>
        <v>-135172.619233132</v>
      </c>
      <c r="G38" s="13" t="n">
        <f aca="false">Market!K32</f>
        <v>133.82589858766</v>
      </c>
      <c r="H38" s="13" t="n">
        <f aca="false">Pessimistic!K32</f>
        <v>-344425.369695443</v>
      </c>
      <c r="I38" s="13" t="n">
        <f aca="false">Optimistic!K32</f>
        <v>631802.401570373</v>
      </c>
      <c r="J38" s="14" t="n">
        <f aca="false">Founder!D32</f>
        <v>23.4994757453401</v>
      </c>
      <c r="K38" s="14" t="n">
        <f aca="false">Market!D32</f>
        <v>23.4994757453401</v>
      </c>
      <c r="L38" s="14" t="n">
        <f aca="false">Pessimistic!D32</f>
        <v>10.8934172143734</v>
      </c>
      <c r="M38" s="14" t="n">
        <f aca="false">Optimistic!D32</f>
        <v>38.0869809993506</v>
      </c>
    </row>
    <row r="39" customFormat="false" ht="15" hidden="false" customHeight="false" outlineLevel="0" collapsed="false">
      <c r="A39" s="0" t="n">
        <v>18</v>
      </c>
      <c r="B39" s="13" t="n">
        <f aca="false">Founder!F33</f>
        <v>39759.2175311928</v>
      </c>
      <c r="C39" s="13" t="n">
        <f aca="false">Market!F33</f>
        <v>73554.5524327067</v>
      </c>
      <c r="D39" s="13" t="n">
        <f aca="false">Pessimistic!F33</f>
        <v>21156.4027631149</v>
      </c>
      <c r="E39" s="13" t="n">
        <f aca="false">Optimistic!F33</f>
        <v>171911.838134497</v>
      </c>
      <c r="F39" s="13" t="n">
        <f aca="false">Founder!K33</f>
        <v>-131649.029989869</v>
      </c>
      <c r="G39" s="13" t="n">
        <f aca="false">Market!K33</f>
        <v>21399.965965146</v>
      </c>
      <c r="H39" s="13" t="n">
        <f aca="false">Pessimistic!K33</f>
        <v>-360262.808556436</v>
      </c>
      <c r="I39" s="13" t="n">
        <f aca="false">Optimistic!K33</f>
        <v>733395.096374676</v>
      </c>
      <c r="J39" s="14" t="n">
        <f aca="false">Founder!D33</f>
        <v>24.7944908611754</v>
      </c>
      <c r="K39" s="14" t="n">
        <f aca="false">Market!D33</f>
        <v>24.7944908611754</v>
      </c>
      <c r="L39" s="14" t="n">
        <f aca="false">Pessimistic!D33</f>
        <v>11.4358933854675</v>
      </c>
      <c r="M39" s="14" t="n">
        <f aca="false">Optimistic!D33</f>
        <v>40.4014144236556</v>
      </c>
    </row>
    <row r="40" customFormat="false" ht="15" hidden="false" customHeight="false" outlineLevel="0" collapsed="false">
      <c r="A40" s="0" t="n">
        <v>19</v>
      </c>
      <c r="B40" s="13" t="n">
        <f aca="false">Founder!F34</f>
        <v>41952.1050777041</v>
      </c>
      <c r="C40" s="13" t="n">
        <f aca="false">Market!F34</f>
        <v>77611.3943937526</v>
      </c>
      <c r="D40" s="13" t="n">
        <f aca="false">Pessimistic!F34</f>
        <v>22117.833638874</v>
      </c>
      <c r="E40" s="13" t="n">
        <f aca="false">Optimistic!F34</f>
        <v>183293.772299897</v>
      </c>
      <c r="F40" s="13" t="n">
        <f aca="false">Founder!K34</f>
        <v>-126974.174809584</v>
      </c>
      <c r="G40" s="13" t="n">
        <f aca="false">Market!K34</f>
        <v>44795.9480363559</v>
      </c>
      <c r="H40" s="13" t="n">
        <f aca="false">Pessimistic!K34</f>
        <v>-375715.675088467</v>
      </c>
      <c r="I40" s="13" t="n">
        <f aca="false">Optimistic!K34</f>
        <v>842386.04837582</v>
      </c>
      <c r="J40" s="14" t="n">
        <f aca="false">Founder!D34</f>
        <v>26.0506559102698</v>
      </c>
      <c r="K40" s="14" t="n">
        <f aca="false">Market!D34</f>
        <v>26.0506559102698</v>
      </c>
      <c r="L40" s="14" t="n">
        <f aca="false">Pessimistic!D34</f>
        <v>11.9555857507427</v>
      </c>
      <c r="M40" s="14" t="n">
        <f aca="false">Optimistic!D34</f>
        <v>42.6741886264243</v>
      </c>
    </row>
    <row r="41" customFormat="false" ht="15" hidden="false" customHeight="false" outlineLevel="0" collapsed="false">
      <c r="A41" s="0" t="n">
        <v>20</v>
      </c>
      <c r="B41" s="13" t="n">
        <f aca="false">Founder!F35</f>
        <v>44100.4772204286</v>
      </c>
      <c r="C41" s="13" t="n">
        <f aca="false">Market!F35</f>
        <v>81585.8828577929</v>
      </c>
      <c r="D41" s="13" t="n">
        <f aca="false">Pessimistic!F35</f>
        <v>23038.8845494525</v>
      </c>
      <c r="E41" s="13" t="n">
        <f aca="false">Optimistic!F35</f>
        <v>194694.373626936</v>
      </c>
      <c r="F41" s="13" t="n">
        <f aca="false">Founder!K35</f>
        <v>-121171.424263529</v>
      </c>
      <c r="G41" s="13" t="n">
        <f aca="false">Market!K35</f>
        <v>70278.5365420276</v>
      </c>
      <c r="H41" s="13" t="n">
        <f aca="false">Pessimistic!K35</f>
        <v>-390800.121264117</v>
      </c>
      <c r="I41" s="13" t="n">
        <f aca="false">Optimistic!K35</f>
        <v>958787.391235613</v>
      </c>
      <c r="J41" s="14" t="n">
        <f aca="false">Founder!D35</f>
        <v>27.269136150163</v>
      </c>
      <c r="K41" s="14" t="n">
        <f aca="false">Market!D35</f>
        <v>27.269136150163</v>
      </c>
      <c r="L41" s="14" t="n">
        <f aca="false">Pessimistic!D35</f>
        <v>12.4534511078122</v>
      </c>
      <c r="M41" s="14" t="n">
        <f aca="false">Optimistic!D35</f>
        <v>44.9060531069505</v>
      </c>
    </row>
    <row r="42" customFormat="false" ht="15" hidden="false" customHeight="false" outlineLevel="0" collapsed="false">
      <c r="A42" s="0" t="n">
        <v>21</v>
      </c>
      <c r="B42" s="13" t="n">
        <f aca="false">Founder!F36</f>
        <v>46205.2374871639</v>
      </c>
      <c r="C42" s="13" t="n">
        <f aca="false">Market!F36</f>
        <v>85479.6893512533</v>
      </c>
      <c r="D42" s="13" t="n">
        <f aca="false">Pessimistic!F36</f>
        <v>23921.2513702</v>
      </c>
      <c r="E42" s="13" t="n">
        <f aca="false">Optimistic!F36</f>
        <v>206113.672230632</v>
      </c>
      <c r="F42" s="13" t="n">
        <f aca="false">Founder!K36</f>
        <v>-114263.674580807</v>
      </c>
      <c r="G42" s="13" t="n">
        <f aca="false">Market!K36</f>
        <v>97805.3734533966</v>
      </c>
      <c r="H42" s="13" t="n">
        <f aca="false">Pessimistic!K36</f>
        <v>-405531.620714356</v>
      </c>
      <c r="I42" s="13" t="n">
        <f aca="false">Optimistic!K36</f>
        <v>1082611.27818636</v>
      </c>
      <c r="J42" s="14" t="n">
        <f aca="false">Founder!D36</f>
        <v>28.4510620351981</v>
      </c>
      <c r="K42" s="14" t="n">
        <f aca="false">Market!D36</f>
        <v>28.4510620351981</v>
      </c>
      <c r="L42" s="14" t="n">
        <f aca="false">Pessimistic!D36</f>
        <v>12.9304061460541</v>
      </c>
      <c r="M42" s="14" t="n">
        <f aca="false">Optimistic!D36</f>
        <v>47.0977441053355</v>
      </c>
    </row>
    <row r="43" customFormat="false" ht="15" hidden="false" customHeight="false" outlineLevel="0" collapsed="false">
      <c r="A43" s="0" t="n">
        <v>22</v>
      </c>
      <c r="B43" s="13" t="n">
        <f aca="false">Founder!F37</f>
        <v>48267.2711493661</v>
      </c>
      <c r="C43" s="13" t="n">
        <f aca="false">Market!F37</f>
        <v>89294.4516263273</v>
      </c>
      <c r="D43" s="13" t="n">
        <f aca="false">Pessimistic!F37</f>
        <v>24766.5588022864</v>
      </c>
      <c r="E43" s="13" t="n">
        <f aca="false">Optimistic!F37</f>
        <v>217551.698590899</v>
      </c>
      <c r="F43" s="13" t="n">
        <f aca="false">Founder!K37</f>
        <v>-106273.357226668</v>
      </c>
      <c r="G43" s="13" t="n">
        <f aca="false">Market!K37</f>
        <v>127334.96055794</v>
      </c>
      <c r="H43" s="13" t="n">
        <f aca="false">Pessimistic!K37</f>
        <v>-419924.997192823</v>
      </c>
      <c r="I43" s="13" t="n">
        <f aca="false">Optimistic!K37</f>
        <v>1213869.88227076</v>
      </c>
      <c r="J43" s="14" t="n">
        <f aca="false">Founder!D37</f>
        <v>29.5975301629366</v>
      </c>
      <c r="K43" s="14" t="n">
        <f aca="false">Market!D37</f>
        <v>29.5975301629366</v>
      </c>
      <c r="L43" s="14" t="n">
        <f aca="false">Pessimistic!D37</f>
        <v>13.387329082317</v>
      </c>
      <c r="M43" s="14" t="n">
        <f aca="false">Optimistic!D37</f>
        <v>49.249984694631</v>
      </c>
    </row>
    <row r="44" customFormat="false" ht="15" hidden="false" customHeight="false" outlineLevel="0" collapsed="false">
      <c r="A44" s="0" t="n">
        <v>23</v>
      </c>
      <c r="B44" s="13" t="n">
        <f aca="false">Founder!F38</f>
        <v>50287.4455388505</v>
      </c>
      <c r="C44" s="13" t="n">
        <f aca="false">Market!F38</f>
        <v>93031.7742468735</v>
      </c>
      <c r="D44" s="13" t="n">
        <f aca="false">Pessimistic!F38</f>
        <v>25576.3633287773</v>
      </c>
      <c r="E44" s="13" t="n">
        <f aca="false">Optimistic!F38</f>
        <v>229008.483353709</v>
      </c>
      <c r="F44" s="13" t="n">
        <f aca="false">Founder!K38</f>
        <v>-97222.4483185061</v>
      </c>
      <c r="G44" s="13" t="n">
        <f aca="false">Market!K38</f>
        <v>158826.642037814</v>
      </c>
      <c r="H44" s="13" t="n">
        <f aca="false">Pessimistic!K38</f>
        <v>-433994.451861085</v>
      </c>
      <c r="I44" s="13" t="n">
        <f aca="false">Optimistic!K38</f>
        <v>1352575.39645078</v>
      </c>
      <c r="J44" s="14" t="n">
        <f aca="false">Founder!D38</f>
        <v>30.7096042539262</v>
      </c>
      <c r="K44" s="14" t="n">
        <f aca="false">Market!D38</f>
        <v>30.7096042539262</v>
      </c>
      <c r="L44" s="14" t="n">
        <f aca="false">Pessimistic!D38</f>
        <v>13.8250612587985</v>
      </c>
      <c r="M44" s="14" t="n">
        <f aca="false">Optimistic!D38</f>
        <v>51.3634849639442</v>
      </c>
    </row>
    <row r="45" customFormat="false" ht="15" hidden="false" customHeight="false" outlineLevel="0" collapsed="false">
      <c r="A45" s="0" t="n">
        <v>24</v>
      </c>
      <c r="B45" s="13" t="n">
        <f aca="false">Founder!F39</f>
        <v>52266.6103921371</v>
      </c>
      <c r="C45" s="13" t="n">
        <f aca="false">Market!F39</f>
        <v>96693.2292254536</v>
      </c>
      <c r="D45" s="13" t="n">
        <f aca="false">Pessimistic!F39</f>
        <v>26352.1560675659</v>
      </c>
      <c r="E45" s="13" t="n">
        <f aca="false">Optimistic!F39</f>
        <v>240484.057257992</v>
      </c>
      <c r="F45" s="13" t="n">
        <f aca="false">Founder!K39</f>
        <v>-87132.4778625365</v>
      </c>
      <c r="G45" s="13" t="n">
        <f aca="false">Market!K39</f>
        <v>192240.587381275</v>
      </c>
      <c r="H45" s="13" t="n">
        <f aca="false">Pessimistic!K39</f>
        <v>-447753.589433975</v>
      </c>
      <c r="I45" s="13" t="n">
        <f aca="false">Optimistic!K39</f>
        <v>1498740.03366852</v>
      </c>
      <c r="J45" s="14" t="n">
        <f aca="false">Founder!D39</f>
        <v>31.7883161247919</v>
      </c>
      <c r="K45" s="14" t="n">
        <f aca="false">Market!D39</f>
        <v>31.7883161247919</v>
      </c>
      <c r="L45" s="14" t="n">
        <f aca="false">Pessimistic!D39</f>
        <v>14.2444086851707</v>
      </c>
      <c r="M45" s="14" t="n">
        <f aca="false">Optimistic!D39</f>
        <v>53.4389422323185</v>
      </c>
    </row>
    <row r="46" customFormat="false" ht="15" hidden="false" customHeight="false" outlineLevel="0" collapsed="false">
      <c r="A46" s="0" t="n">
        <v>25</v>
      </c>
      <c r="B46" s="13" t="n">
        <f aca="false">Founder!F40</f>
        <v>54205.5982003399</v>
      </c>
      <c r="C46" s="13" t="n">
        <f aca="false">Market!F40</f>
        <v>100280.356670629</v>
      </c>
      <c r="D46" s="13" t="n">
        <f aca="false">Pessimistic!F40</f>
        <v>27095.365512212</v>
      </c>
      <c r="E46" s="13" t="n">
        <f aca="false">Optimistic!F40</f>
        <v>251978.451108799</v>
      </c>
      <c r="F46" s="13" t="n">
        <f aca="false">Founder!K40</f>
        <v>-76024.5388073221</v>
      </c>
      <c r="G46" s="13" t="n">
        <f aca="false">Market!K40</f>
        <v>227537.774633391</v>
      </c>
      <c r="H46" s="13" t="n">
        <f aca="false">Pessimistic!K40</f>
        <v>-461215.443229059</v>
      </c>
      <c r="I46" s="13" t="n">
        <f aca="false">Optimistic!K40</f>
        <v>1652376.02688925</v>
      </c>
      <c r="J46" s="14" t="n">
        <f aca="false">Founder!D40</f>
        <v>32.8346666404902</v>
      </c>
      <c r="K46" s="14" t="n">
        <f aca="false">Market!D40</f>
        <v>32.8346666404902</v>
      </c>
      <c r="L46" s="14" t="n">
        <f aca="false">Pessimistic!D40</f>
        <v>14.6461435201146</v>
      </c>
      <c r="M46" s="14" t="n">
        <f aca="false">Optimistic!D40</f>
        <v>55.4770412712999</v>
      </c>
    </row>
    <row r="47" customFormat="false" ht="15" hidden="false" customHeight="false" outlineLevel="0" collapsed="false">
      <c r="A47" s="0" t="n">
        <v>26</v>
      </c>
      <c r="B47" s="13" t="n">
        <f aca="false">Founder!F41</f>
        <v>56105.2245565651</v>
      </c>
      <c r="C47" s="13" t="n">
        <f aca="false">Market!F41</f>
        <v>103794.665429645</v>
      </c>
      <c r="D47" s="13" t="n">
        <f aca="false">Pessimistic!F41</f>
        <v>27807.3601605093</v>
      </c>
      <c r="E47" s="13" t="n">
        <f aca="false">Optimistic!F41</f>
        <v>263491.695767479</v>
      </c>
      <c r="F47" s="13" t="n">
        <f aca="false">Founder!K41</f>
        <v>-63919.2959151122</v>
      </c>
      <c r="G47" s="13" t="n">
        <f aca="false">Market!K41</f>
        <v>264679.973983968</v>
      </c>
      <c r="H47" s="13" t="n">
        <f aca="false">Pessimistic!K41</f>
        <v>-474392.499164844</v>
      </c>
      <c r="I47" s="13" t="n">
        <f aca="false">Optimistic!K41</f>
        <v>1813495.62913812</v>
      </c>
      <c r="J47" s="14" t="n">
        <f aca="false">Founder!D41</f>
        <v>33.8496266410703</v>
      </c>
      <c r="K47" s="14" t="n">
        <f aca="false">Market!D41</f>
        <v>33.8496266410703</v>
      </c>
      <c r="L47" s="14" t="n">
        <f aca="false">Pessimistic!D41</f>
        <v>15.0310054921672</v>
      </c>
      <c r="M47" s="14" t="n">
        <f aca="false">Optimistic!D41</f>
        <v>57.4784545281086</v>
      </c>
    </row>
    <row r="48" customFormat="false" ht="15" hidden="false" customHeight="false" outlineLevel="0" collapsed="false">
      <c r="A48" s="0" t="n">
        <v>27</v>
      </c>
      <c r="B48" s="13" t="n">
        <f aca="false">Founder!F42</f>
        <v>57966.2884979536</v>
      </c>
      <c r="C48" s="13" t="n">
        <f aca="false">Market!F42</f>
        <v>107237.633721214</v>
      </c>
      <c r="D48" s="13" t="n">
        <f aca="false">Pessimistic!F42</f>
        <v>28489.4510336981</v>
      </c>
      <c r="E48" s="13" t="n">
        <f aca="false">Optimistic!F42</f>
        <v>275023.822148118</v>
      </c>
      <c r="F48" s="13" t="n">
        <f aca="false">Founder!K42</f>
        <v>-50836.9944536817</v>
      </c>
      <c r="G48" s="13" t="n">
        <f aca="false">Market!K42</f>
        <v>303629.73168761</v>
      </c>
      <c r="H48" s="13" t="n">
        <f aca="false">Pessimistic!K42</f>
        <v>-487296.718751361</v>
      </c>
      <c r="I48" s="13" t="n">
        <f aca="false">Optimistic!K42</f>
        <v>1982111.1135344</v>
      </c>
      <c r="J48" s="14" t="n">
        <f aca="false">Founder!D42</f>
        <v>34.8341378417627</v>
      </c>
      <c r="K48" s="14" t="n">
        <f aca="false">Market!D42</f>
        <v>34.8341378417627</v>
      </c>
      <c r="L48" s="14" t="n">
        <f aca="false">Pessimistic!D42</f>
        <v>15.3997032614584</v>
      </c>
      <c r="M48" s="14" t="n">
        <f aca="false">Optimistic!D42</f>
        <v>59.4438423464894</v>
      </c>
    </row>
    <row r="49" customFormat="false" ht="15" hidden="false" customHeight="false" outlineLevel="0" collapsed="false">
      <c r="A49" s="0" t="n">
        <v>28</v>
      </c>
      <c r="B49" s="13" t="n">
        <f aca="false">Founder!F43</f>
        <v>59789.5728414035</v>
      </c>
      <c r="C49" s="13" t="n">
        <f aca="false">Market!F43</f>
        <v>110610.709756596</v>
      </c>
      <c r="D49" s="13" t="n">
        <f aca="false">Pessimistic!F43</f>
        <v>29142.894090257</v>
      </c>
      <c r="E49" s="13" t="n">
        <f aca="false">Optimistic!F43</f>
        <v>286574.861216287</v>
      </c>
      <c r="F49" s="13" t="n">
        <f aca="false">Founder!K43</f>
        <v>-36797.4687119431</v>
      </c>
      <c r="G49" s="13" t="n">
        <f aca="false">Market!K43</f>
        <v>344350.354309825</v>
      </c>
      <c r="H49" s="13" t="n">
        <f aca="false">Pessimistic!K43</f>
        <v>-499939.561115256</v>
      </c>
      <c r="I49" s="13" t="n">
        <f aca="false">Optimistic!K43</f>
        <v>2158234.77332499</v>
      </c>
      <c r="J49" s="14" t="n">
        <f aca="false">Founder!D43</f>
        <v>35.789113706482</v>
      </c>
      <c r="K49" s="14" t="n">
        <f aca="false">Market!D43</f>
        <v>35.789113706482</v>
      </c>
      <c r="L49" s="14" t="n">
        <f aca="false">Pessimistic!D43</f>
        <v>15.7529157244633</v>
      </c>
      <c r="M49" s="14" t="n">
        <f aca="false">Optimistic!D43</f>
        <v>61.3738531842109</v>
      </c>
    </row>
    <row r="50" customFormat="false" ht="15" hidden="false" customHeight="false" outlineLevel="0" collapsed="false">
      <c r="A50" s="0" t="n">
        <v>29</v>
      </c>
      <c r="B50" s="13" t="n">
        <f aca="false">Founder!F44</f>
        <v>61575.8445127076</v>
      </c>
      <c r="C50" s="13" t="n">
        <f aca="false">Market!F44</f>
        <v>113915.312348509</v>
      </c>
      <c r="D50" s="13" t="n">
        <f aca="false">Pessimistic!F44</f>
        <v>29768.8925384568</v>
      </c>
      <c r="E50" s="13" t="n">
        <f aca="false">Optimistic!F44</f>
        <v>298144.843988625</v>
      </c>
      <c r="F50" s="13" t="n">
        <f aca="false">Founder!K44</f>
        <v>-21820.150342771</v>
      </c>
      <c r="G50" s="13" t="n">
        <f aca="false">Market!K44</f>
        <v>386805.893292793</v>
      </c>
      <c r="H50" s="13" t="n">
        <f aca="false">Pessimistic!K44</f>
        <v>-512332.004099873</v>
      </c>
      <c r="I50" s="13" t="n">
        <f aca="false">Optimistic!K44</f>
        <v>2341878.92191759</v>
      </c>
      <c r="J50" s="14" t="n">
        <f aca="false">Founder!D44</f>
        <v>36.7154402952774</v>
      </c>
      <c r="K50" s="14" t="n">
        <f aca="false">Market!D44</f>
        <v>36.7154402952774</v>
      </c>
      <c r="L50" s="14" t="n">
        <f aca="false">Pessimistic!D44</f>
        <v>16.0912932640307</v>
      </c>
      <c r="M50" s="14" t="n">
        <f aca="false">Optimistic!D44</f>
        <v>63.2691238268798</v>
      </c>
    </row>
    <row r="51" customFormat="false" ht="15" hidden="false" customHeight="false" outlineLevel="0" collapsed="false">
      <c r="A51" s="0" t="n">
        <v>30</v>
      </c>
      <c r="B51" s="13" t="n">
        <f aca="false">Founder!F45</f>
        <v>63325.854869094</v>
      </c>
      <c r="C51" s="13" t="n">
        <f aca="false">Market!F45</f>
        <v>117152.831507824</v>
      </c>
      <c r="D51" s="13" t="n">
        <f aca="false">Pessimistic!F45</f>
        <v>30368.5990518381</v>
      </c>
      <c r="E51" s="13" t="n">
        <f aca="false">Optimistic!F45</f>
        <v>309733.801532746</v>
      </c>
      <c r="F51" s="13" t="n">
        <f aca="false">Founder!K45</f>
        <v>-5924.07653649636</v>
      </c>
      <c r="G51" s="13" t="n">
        <f aca="false">Market!K45</f>
        <v>430961.129834401</v>
      </c>
      <c r="H51" s="13" t="n">
        <f aca="false">Pessimistic!K45</f>
        <v>-524484.564479138</v>
      </c>
      <c r="I51" s="13" t="n">
        <f aca="false">Optimistic!K45</f>
        <v>2533055.89291388</v>
      </c>
      <c r="J51" s="14" t="n">
        <f aca="false">Founder!D45</f>
        <v>37.6139770864153</v>
      </c>
      <c r="K51" s="14" t="n">
        <f aca="false">Market!D45</f>
        <v>37.6139770864153</v>
      </c>
      <c r="L51" s="14" t="n">
        <f aca="false">Pessimistic!D45</f>
        <v>16.4154589469395</v>
      </c>
      <c r="M51" s="14" t="n">
        <f aca="false">Optimistic!D45</f>
        <v>65.1302795979903</v>
      </c>
    </row>
    <row r="52" customFormat="false" ht="15" hidden="false" customHeight="false" outlineLevel="0" collapsed="false">
      <c r="A52" s="0" t="n">
        <v>31</v>
      </c>
      <c r="B52" s="13" t="n">
        <f aca="false">Founder!F46</f>
        <v>65040.3400152494</v>
      </c>
      <c r="C52" s="13" t="n">
        <f aca="false">Market!F46</f>
        <v>120324.629028211</v>
      </c>
      <c r="D52" s="13" t="n">
        <f aca="false">Pessimistic!F46</f>
        <v>30943.1178916596</v>
      </c>
      <c r="E52" s="13" t="n">
        <f aca="false">Optimistic!F46</f>
        <v>321341.764967252</v>
      </c>
      <c r="F52" s="13" t="n">
        <f aca="false">Founder!K46</f>
        <v>10872.1019715096</v>
      </c>
      <c r="G52" s="13" t="n">
        <f aca="false">Market!K46</f>
        <v>476781.560074212</v>
      </c>
      <c r="H52" s="13" t="n">
        <f aca="false">Pessimistic!K46</f>
        <v>-536407.317322474</v>
      </c>
      <c r="I52" s="13" t="n">
        <f aca="false">Optimistic!K46</f>
        <v>2731778.04014259</v>
      </c>
      <c r="J52" s="14" t="n">
        <f aca="false">Founder!D46</f>
        <v>38.4855577738214</v>
      </c>
      <c r="K52" s="14" t="n">
        <f aca="false">Market!D46</f>
        <v>38.4855577738214</v>
      </c>
      <c r="L52" s="14" t="n">
        <f aca="false">Pessimistic!D46</f>
        <v>16.7260096711674</v>
      </c>
      <c r="M52" s="14" t="n">
        <f aca="false">Optimistic!D46</f>
        <v>66.9579345652244</v>
      </c>
    </row>
    <row r="53" customFormat="false" ht="15" hidden="false" customHeight="false" outlineLevel="0" collapsed="false">
      <c r="A53" s="0" t="n">
        <v>32</v>
      </c>
      <c r="B53" s="13" t="n">
        <f aca="false">Founder!F47</f>
        <v>66720.021112939</v>
      </c>
      <c r="C53" s="13" t="n">
        <f aca="false">Market!F47</f>
        <v>123432.039058937</v>
      </c>
      <c r="D53" s="13" t="n">
        <f aca="false">Pessimistic!F47</f>
        <v>31493.5069402095</v>
      </c>
      <c r="E53" s="13" t="n">
        <f aca="false">Optimistic!F47</f>
        <v>332968.765461795</v>
      </c>
      <c r="F53" s="13" t="n">
        <f aca="false">Founder!K47</f>
        <v>28550.1130558027</v>
      </c>
      <c r="G53" s="13" t="n">
        <f aca="false">Market!K47</f>
        <v>524233.380580154</v>
      </c>
      <c r="H53" s="13" t="n">
        <f aca="false">Pessimistic!K47</f>
        <v>-548109.91454639</v>
      </c>
      <c r="I53" s="13" t="n">
        <f aca="false">Optimistic!K47</f>
        <v>2938057.73769276</v>
      </c>
      <c r="J53" s="14" t="n">
        <f aca="false">Founder!D47</f>
        <v>39.3309910406063</v>
      </c>
      <c r="K53" s="14" t="n">
        <f aca="false">Market!D47</f>
        <v>39.3309910406063</v>
      </c>
      <c r="L53" s="14" t="n">
        <f aca="false">Pessimistic!D47</f>
        <v>17.0235172649781</v>
      </c>
      <c r="M53" s="14" t="n">
        <f aca="false">Optimistic!D47</f>
        <v>68.7526917430496</v>
      </c>
    </row>
    <row r="54" customFormat="false" ht="15" hidden="false" customHeight="false" outlineLevel="0" collapsed="false">
      <c r="A54" s="0" t="n">
        <v>33</v>
      </c>
      <c r="B54" s="13" t="n">
        <f aca="false">Founder!F48</f>
        <v>68365.6046843461</v>
      </c>
      <c r="C54" s="13" t="n">
        <f aca="false">Market!F48</f>
        <v>126476.36866604</v>
      </c>
      <c r="D54" s="13" t="n">
        <f aca="false">Pessimistic!F48</f>
        <v>32020.7796487205</v>
      </c>
      <c r="E54" s="13" t="n">
        <f aca="false">Optimistic!F48</f>
        <v>344614.834237151</v>
      </c>
      <c r="F54" s="13" t="n">
        <f aca="false">Founder!K48</f>
        <v>47092.0555150844</v>
      </c>
      <c r="G54" s="13" t="n">
        <f aca="false">Market!K48</f>
        <v>573283.474129825</v>
      </c>
      <c r="H54" s="13" t="n">
        <f aca="false">Pessimistic!K48</f>
        <v>-559601.602686902</v>
      </c>
      <c r="I54" s="13" t="n">
        <f aca="false">Optimistic!K48</f>
        <v>3151907.37994691</v>
      </c>
      <c r="J54" s="14" t="n">
        <f aca="false">Founder!D48</f>
        <v>40.1510613093879</v>
      </c>
      <c r="K54" s="14" t="n">
        <f aca="false">Market!D48</f>
        <v>40.1510613093879</v>
      </c>
      <c r="L54" s="14" t="n">
        <f aca="false">Pessimistic!D48</f>
        <v>17.3085295398489</v>
      </c>
      <c r="M54" s="14" t="n">
        <f aca="false">Optimistic!D48</f>
        <v>70.5151432916745</v>
      </c>
    </row>
    <row r="55" customFormat="false" ht="15" hidden="false" customHeight="false" outlineLevel="0" collapsed="false">
      <c r="A55" s="0" t="n">
        <v>34</v>
      </c>
      <c r="B55" s="13" t="n">
        <f aca="false">Founder!F49</f>
        <v>69977.7829092537</v>
      </c>
      <c r="C55" s="13" t="n">
        <f aca="false">Market!F49</f>
        <v>129458.898382119</v>
      </c>
      <c r="D55" s="13" t="n">
        <f aca="false">Pessimistic!F49</f>
        <v>32525.9069034742</v>
      </c>
      <c r="E55" s="13" t="n">
        <f aca="false">Optimistic!F49</f>
        <v>356280.0025653</v>
      </c>
      <c r="F55" s="13" t="n">
        <f aca="false">Founder!K49</f>
        <v>66480.3915424426</v>
      </c>
      <c r="G55" s="13" t="n">
        <f aca="false">Market!K49</f>
        <v>623899.395780438</v>
      </c>
      <c r="H55" s="13" t="n">
        <f aca="false">Pessimistic!K49</f>
        <v>-570891.239925512</v>
      </c>
      <c r="I55" s="13" t="n">
        <f aca="false">Optimistic!K49</f>
        <v>3373339.38161435</v>
      </c>
      <c r="J55" s="14" t="n">
        <f aca="false">Founder!D49</f>
        <v>40.9465294701062</v>
      </c>
      <c r="K55" s="14" t="n">
        <f aca="false">Market!D49</f>
        <v>40.9465294701062</v>
      </c>
      <c r="L55" s="14" t="n">
        <f aca="false">Pessimistic!D49</f>
        <v>17.5815712991752</v>
      </c>
      <c r="M55" s="14" t="n">
        <f aca="false">Optimistic!D49</f>
        <v>72.2458707124242</v>
      </c>
    </row>
    <row r="56" customFormat="false" ht="15" hidden="false" customHeight="false" outlineLevel="0" collapsed="false">
      <c r="A56" s="0" t="n">
        <v>35</v>
      </c>
      <c r="B56" s="13" t="n">
        <f aca="false">Founder!F50</f>
        <v>71557.2339161958</v>
      </c>
      <c r="C56" s="13" t="n">
        <f aca="false">Market!F50</f>
        <v>132380.882744962</v>
      </c>
      <c r="D56" s="13" t="n">
        <f aca="false">Pessimistic!F50</f>
        <v>33009.8188135282</v>
      </c>
      <c r="E56" s="13" t="n">
        <f aca="false">Optimistic!F50</f>
        <v>367964.301769507</v>
      </c>
      <c r="F56" s="13" t="n">
        <f aca="false">Founder!K50</f>
        <v>86697.9393484454</v>
      </c>
      <c r="G56" s="13" t="n">
        <f aca="false">Market!K50</f>
        <v>676049.359221543</v>
      </c>
      <c r="H56" s="13" t="n">
        <f aca="false">Pessimistic!K50</f>
        <v>-581987.312400101</v>
      </c>
      <c r="I56" s="13" t="n">
        <f aca="false">Optimistic!K50</f>
        <v>3602366.17776453</v>
      </c>
      <c r="J56" s="14" t="n">
        <f aca="false">Founder!D50</f>
        <v>41.718133586003</v>
      </c>
      <c r="K56" s="14" t="n">
        <f aca="false">Market!D50</f>
        <v>41.718133586003</v>
      </c>
      <c r="L56" s="14" t="n">
        <f aca="false">Pessimistic!D50</f>
        <v>17.8431453046099</v>
      </c>
      <c r="M56" s="14" t="n">
        <f aca="false">Optimistic!D50</f>
        <v>73.9454450396005</v>
      </c>
    </row>
    <row r="57" customFormat="false" ht="15" hidden="false" customHeight="false" outlineLevel="0" collapsed="false">
      <c r="A57" s="0" t="n">
        <v>36</v>
      </c>
      <c r="B57" s="13" t="n">
        <f aca="false">Founder!F51</f>
        <v>73104.622067697</v>
      </c>
      <c r="C57" s="13" t="n">
        <f aca="false">Market!F51</f>
        <v>135243.55082524</v>
      </c>
      <c r="D57" s="13" t="n">
        <f aca="false">Pessimistic!F51</f>
        <v>33473.40642336</v>
      </c>
      <c r="E57" s="13" t="n">
        <f aca="false">Optimistic!F51</f>
        <v>379667.763224409</v>
      </c>
      <c r="F57" s="13" t="n">
        <f aca="false">Founder!K51</f>
        <v>107727.865933986</v>
      </c>
      <c r="G57" s="13" t="n">
        <f aca="false">Market!K51</f>
        <v>729702.223404794</v>
      </c>
      <c r="H57" s="13" t="n">
        <f aca="false">Pessimistic!K51</f>
        <v>-592897.949830757</v>
      </c>
      <c r="I57" s="13" t="n">
        <f aca="false">Optimistic!K51</f>
        <v>3839000.2238604</v>
      </c>
      <c r="J57" s="14" t="n">
        <f aca="false">Founder!D51</f>
        <v>42.4665895784229</v>
      </c>
      <c r="K57" s="14" t="n">
        <f aca="false">Market!D51</f>
        <v>42.4665895784229</v>
      </c>
      <c r="L57" s="14" t="n">
        <f aca="false">Pessimistic!D51</f>
        <v>18.0937332018162</v>
      </c>
      <c r="M57" s="14" t="n">
        <f aca="false">Optimistic!D51</f>
        <v>75.6144270288877</v>
      </c>
    </row>
  </sheetData>
  <mergeCells count="12"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37</v>
      </c>
    </row>
    <row r="3" customFormat="false" ht="15" hidden="false" customHeight="false" outlineLevel="0" collapsed="false">
      <c r="A3" s="12" t="s">
        <v>38</v>
      </c>
    </row>
    <row r="5" customFormat="false" ht="15" hidden="false" customHeight="false" outlineLevel="0" collapsed="false">
      <c r="A5" s="6" t="s">
        <v>39</v>
      </c>
      <c r="B5" s="6" t="s">
        <v>40</v>
      </c>
      <c r="C5" s="6" t="s">
        <v>41</v>
      </c>
    </row>
    <row r="6" customFormat="false" ht="15" hidden="false" customHeight="false" outlineLevel="0" collapsed="false">
      <c r="A6" s="0" t="s">
        <v>42</v>
      </c>
      <c r="B6" s="0" t="s">
        <v>43</v>
      </c>
      <c r="C6" s="0" t="s">
        <v>44</v>
      </c>
    </row>
    <row r="7" customFormat="false" ht="15" hidden="false" customHeight="false" outlineLevel="0" collapsed="false">
      <c r="A7" s="0" t="s">
        <v>45</v>
      </c>
      <c r="B7" s="0" t="s">
        <v>46</v>
      </c>
      <c r="C7" s="0" t="s">
        <v>47</v>
      </c>
    </row>
    <row r="9" customFormat="false" ht="15" hidden="false" customHeight="false" outlineLevel="0" collapsed="false">
      <c r="A9" s="2" t="s">
        <v>48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4"/>
    <col collapsed="false" customWidth="true" hidden="false" outlineLevel="0" max="6" min="6" style="0" width="22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6" t="s">
        <v>51</v>
      </c>
      <c r="B4" s="6" t="s">
        <v>9</v>
      </c>
      <c r="C4" s="6" t="s">
        <v>52</v>
      </c>
      <c r="D4" s="6" t="s">
        <v>53</v>
      </c>
      <c r="E4" s="6" t="s">
        <v>54</v>
      </c>
      <c r="F4" s="6" t="s">
        <v>55</v>
      </c>
      <c r="G4" s="6" t="s">
        <v>56</v>
      </c>
    </row>
    <row r="5" customFormat="false" ht="15" hidden="false" customHeight="false" outlineLevel="0" collapsed="false">
      <c r="A5" s="15" t="s">
        <v>57</v>
      </c>
      <c r="B5" s="16" t="n">
        <v>1500</v>
      </c>
      <c r="C5" s="13" t="n">
        <f aca="false">AVERAGE(D5,E5)</f>
        <v>2775</v>
      </c>
      <c r="D5" s="16" t="n">
        <v>1850</v>
      </c>
      <c r="E5" s="16" t="n">
        <v>3700</v>
      </c>
      <c r="F5" s="0" t="s">
        <v>58</v>
      </c>
      <c r="G5" s="0" t="s">
        <v>59</v>
      </c>
    </row>
    <row r="6" customFormat="false" ht="15" hidden="false" customHeight="false" outlineLevel="0" collapsed="false">
      <c r="A6" s="15" t="s">
        <v>17</v>
      </c>
      <c r="B6" s="10" t="n">
        <f aca="false">AVERAGE(D6,E6)</f>
        <v>0.525</v>
      </c>
      <c r="C6" s="17" t="n">
        <f aca="false">AVERAGE(D6,E6)</f>
        <v>0.525</v>
      </c>
      <c r="D6" s="18" t="n">
        <v>0.4</v>
      </c>
      <c r="E6" s="18" t="n">
        <v>0.65</v>
      </c>
      <c r="F6" s="0" t="s">
        <v>60</v>
      </c>
      <c r="G6" s="0" t="s">
        <v>61</v>
      </c>
    </row>
    <row r="7" customFormat="false" ht="15" hidden="false" customHeight="false" outlineLevel="0" collapsed="false">
      <c r="A7" s="15" t="s">
        <v>62</v>
      </c>
      <c r="B7" s="10" t="n">
        <f aca="false">AVERAGE(D7,E7)</f>
        <v>0.03</v>
      </c>
      <c r="C7" s="17" t="n">
        <f aca="false">AVERAGE(D7,E7)</f>
        <v>0.03</v>
      </c>
      <c r="D7" s="18" t="n">
        <v>0.018</v>
      </c>
      <c r="E7" s="18" t="n">
        <v>0.042</v>
      </c>
      <c r="F7" s="0" t="s">
        <v>60</v>
      </c>
      <c r="G7" s="0" t="s">
        <v>63</v>
      </c>
    </row>
    <row r="8" customFormat="false" ht="15" hidden="false" customHeight="false" outlineLevel="0" collapsed="false">
      <c r="A8" s="15" t="s">
        <v>64</v>
      </c>
      <c r="B8" s="10" t="n">
        <f aca="false">AVERAGE(D8,E8)</f>
        <v>0.01</v>
      </c>
      <c r="C8" s="17" t="n">
        <f aca="false">AVERAGE(D8,E8)</f>
        <v>0.01</v>
      </c>
      <c r="D8" s="18" t="n">
        <v>0</v>
      </c>
      <c r="E8" s="18" t="n">
        <v>0.02</v>
      </c>
      <c r="F8" s="0" t="s">
        <v>60</v>
      </c>
      <c r="G8" s="0" t="s">
        <v>65</v>
      </c>
    </row>
    <row r="9" customFormat="false" ht="15" hidden="false" customHeight="false" outlineLevel="0" collapsed="false">
      <c r="A9" s="15" t="s">
        <v>66</v>
      </c>
      <c r="B9" s="19" t="n">
        <f aca="false">AVERAGE(D9,E9)</f>
        <v>2</v>
      </c>
      <c r="C9" s="20" t="n">
        <f aca="false">AVERAGE(D9,E9)</f>
        <v>2</v>
      </c>
      <c r="D9" s="21" t="n">
        <v>1</v>
      </c>
      <c r="E9" s="21" t="n">
        <v>3</v>
      </c>
      <c r="F9" s="0" t="s">
        <v>60</v>
      </c>
      <c r="G9" s="0" t="s">
        <v>67</v>
      </c>
    </row>
    <row r="10" customFormat="false" ht="15" hidden="false" customHeight="false" outlineLevel="0" collapsed="false">
      <c r="A10" s="15" t="s">
        <v>68</v>
      </c>
      <c r="B10" s="7" t="n">
        <f aca="false">AVERAGE(D10,E10)</f>
        <v>4250</v>
      </c>
      <c r="C10" s="13" t="n">
        <f aca="false">AVERAGE(D10,E10)</f>
        <v>4250</v>
      </c>
      <c r="D10" s="16" t="n">
        <v>2500</v>
      </c>
      <c r="E10" s="16" t="n">
        <v>6000</v>
      </c>
      <c r="F10" s="0" t="s">
        <v>60</v>
      </c>
      <c r="G10" s="0" t="s">
        <v>69</v>
      </c>
    </row>
    <row r="11" customFormat="false" ht="15" hidden="false" customHeight="false" outlineLevel="0" collapsed="false">
      <c r="A11" s="15" t="s">
        <v>70</v>
      </c>
      <c r="B11" s="7" t="n">
        <f aca="false">AVERAGE(D11,E11)</f>
        <v>175</v>
      </c>
      <c r="C11" s="13" t="n">
        <f aca="false">AVERAGE(D11,E11)</f>
        <v>175</v>
      </c>
      <c r="D11" s="16" t="n">
        <v>50</v>
      </c>
      <c r="E11" s="16" t="n">
        <v>300</v>
      </c>
      <c r="F11" s="0" t="s">
        <v>60</v>
      </c>
      <c r="G11" s="0" t="s">
        <v>71</v>
      </c>
    </row>
    <row r="13" customFormat="false" ht="15" hidden="false" customHeight="false" outlineLevel="0" collapsed="false">
      <c r="A13" s="12" t="s">
        <v>72</v>
      </c>
    </row>
    <row r="14" customFormat="false" ht="15" hidden="false" customHeight="false" outlineLevel="0" collapsed="false">
      <c r="A14" s="15" t="s">
        <v>73</v>
      </c>
      <c r="B14" s="22" t="n">
        <v>4</v>
      </c>
    </row>
    <row r="15" customFormat="false" ht="15" hidden="false" customHeight="false" outlineLevel="0" collapsed="false">
      <c r="A15" s="15" t="s">
        <v>74</v>
      </c>
      <c r="B15" s="16" t="n">
        <v>0</v>
      </c>
    </row>
    <row r="16" customFormat="false" ht="15" hidden="false" customHeight="false" outlineLevel="0" collapsed="false">
      <c r="A16" s="15" t="s">
        <v>75</v>
      </c>
      <c r="B16" s="16" t="n">
        <v>0</v>
      </c>
    </row>
    <row r="17" customFormat="false" ht="15" hidden="false" customHeight="false" outlineLevel="0" collapsed="false">
      <c r="A17" s="15" t="s">
        <v>76</v>
      </c>
      <c r="B17" s="22" t="n">
        <v>0</v>
      </c>
    </row>
    <row r="18" customFormat="false" ht="15" hidden="false" customHeight="false" outlineLevel="0" collapsed="false">
      <c r="A18" s="15" t="s">
        <v>77</v>
      </c>
      <c r="B18" s="16" t="n">
        <v>0</v>
      </c>
    </row>
    <row r="19" customFormat="false" ht="15" hidden="false" customHeight="false" outlineLevel="0" collapsed="false">
      <c r="A19" s="15" t="s">
        <v>78</v>
      </c>
      <c r="B19" s="23" t="n">
        <v>0</v>
      </c>
    </row>
    <row r="20" customFormat="false" ht="15" hidden="false" customHeight="false" outlineLevel="0" collapsed="false">
      <c r="A20" s="15" t="s">
        <v>79</v>
      </c>
      <c r="B20" s="16" t="n">
        <v>0</v>
      </c>
    </row>
    <row r="21" customFormat="false" ht="15" hidden="false" customHeight="false" outlineLevel="0" collapsed="false">
      <c r="A21" s="15" t="s">
        <v>80</v>
      </c>
      <c r="B21" s="24" t="n">
        <v>2</v>
      </c>
    </row>
    <row r="22" customFormat="false" ht="15" hidden="false" customHeight="false" outlineLevel="0" collapsed="false">
      <c r="A22" s="15" t="s">
        <v>81</v>
      </c>
      <c r="B22" s="21" t="n">
        <v>1</v>
      </c>
    </row>
    <row r="23" customFormat="false" ht="15" hidden="false" customHeight="false" outlineLevel="0" collapsed="false">
      <c r="A23" s="15" t="s">
        <v>82</v>
      </c>
      <c r="B23" s="22" t="n">
        <v>1</v>
      </c>
    </row>
    <row r="25" customFormat="false" ht="15" hidden="false" customHeight="false" outlineLevel="0" collapsed="false">
      <c r="A25" s="12" t="s">
        <v>83</v>
      </c>
    </row>
    <row r="26" customFormat="false" ht="15" hidden="false" customHeight="false" outlineLevel="0" collapsed="false">
      <c r="A26" s="6" t="s">
        <v>84</v>
      </c>
      <c r="B26" s="6" t="s">
        <v>85</v>
      </c>
      <c r="C26" s="6" t="s">
        <v>86</v>
      </c>
      <c r="D26" s="6" t="s">
        <v>87</v>
      </c>
    </row>
    <row r="27" customFormat="false" ht="15" hidden="false" customHeight="false" outlineLevel="0" collapsed="false">
      <c r="A27" s="0" t="s">
        <v>88</v>
      </c>
      <c r="B27" s="25"/>
      <c r="C27" s="26"/>
      <c r="D27" s="13" t="n">
        <f aca="false">C27</f>
        <v>0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5"/>
  </cols>
  <sheetData>
    <row r="1" customFormat="false" ht="17.35" hidden="false" customHeight="false" outlineLevel="0" collapsed="false">
      <c r="A1" s="1" t="s">
        <v>89</v>
      </c>
    </row>
    <row r="3" customFormat="false" ht="15" hidden="false" customHeight="false" outlineLevel="0" collapsed="false">
      <c r="A3" s="15" t="s">
        <v>90</v>
      </c>
      <c r="B3" s="7" t="n">
        <f aca="false">Inputs!B5</f>
        <v>1500</v>
      </c>
    </row>
    <row r="4" customFormat="false" ht="15" hidden="false" customHeight="false" outlineLevel="0" collapsed="false">
      <c r="A4" s="15" t="s">
        <v>17</v>
      </c>
      <c r="B4" s="10" t="n">
        <f aca="false">Inputs!B6</f>
        <v>0.525</v>
      </c>
    </row>
    <row r="5" customFormat="false" ht="15" hidden="false" customHeight="false" outlineLevel="0" collapsed="false">
      <c r="A5" s="15" t="s">
        <v>62</v>
      </c>
      <c r="B5" s="10" t="n">
        <f aca="false">Inputs!B7</f>
        <v>0.03</v>
      </c>
    </row>
    <row r="6" customFormat="false" ht="15" hidden="false" customHeight="false" outlineLevel="0" collapsed="false">
      <c r="A6" s="15" t="s">
        <v>91</v>
      </c>
      <c r="B6" s="10" t="n">
        <f aca="false">Inputs!B8</f>
        <v>0.01</v>
      </c>
    </row>
    <row r="7" customFormat="false" ht="15" hidden="false" customHeight="false" outlineLevel="0" collapsed="false">
      <c r="A7" s="15" t="s">
        <v>13</v>
      </c>
      <c r="B7" s="7" t="n">
        <f aca="false">Inputs!B11</f>
        <v>175</v>
      </c>
    </row>
    <row r="8" customFormat="false" ht="15" hidden="false" customHeight="false" outlineLevel="0" collapsed="false">
      <c r="A8" s="15" t="s">
        <v>92</v>
      </c>
      <c r="B8" s="7" t="n">
        <f aca="false">Inputs!B14*Inputs!B10+Inputs!B15</f>
        <v>17000</v>
      </c>
    </row>
    <row r="9" customFormat="false" ht="15" hidden="false" customHeight="false" outlineLevel="0" collapsed="false">
      <c r="A9" s="15" t="s">
        <v>93</v>
      </c>
      <c r="B9" s="27" t="n">
        <f aca="false">Inputs!B9</f>
        <v>2</v>
      </c>
    </row>
    <row r="10" customFormat="false" ht="15" hidden="false" customHeight="false" outlineLevel="0" collapsed="false">
      <c r="A10" s="15" t="s">
        <v>94</v>
      </c>
      <c r="B10" s="28" t="n">
        <f aca="false">B3*B4*(1-B5)^Inputs!B17*IF(ABS(1-(1-B5)*(1+B6))&lt;0.000001,MAX(0,60-Inputs!B17),(1-((1-B5)*(1+B6))^MAX(0,60-Inputs!B17))/(1-(1-B5)*(1+B6)))</f>
        <v>27460.2047307445</v>
      </c>
    </row>
    <row r="11" customFormat="false" ht="15" hidden="false" customHeight="false" outlineLevel="0" collapsed="false">
      <c r="A11" s="15" t="s">
        <v>15</v>
      </c>
      <c r="B11" s="29" t="n">
        <f aca="false">IF(B7&gt;0,B10/B7,"n/a")</f>
        <v>156.915455604254</v>
      </c>
    </row>
    <row r="12" customFormat="false" ht="15" hidden="false" customHeight="false" outlineLevel="0" collapsed="false">
      <c r="A12" s="15" t="s">
        <v>95</v>
      </c>
      <c r="B12" s="30" t="n">
        <f aca="false">IF(B3*B4&lt;=0,"none",IF(B7&lt;=0,1+Inputs!B17,IF((1-B5)*(1+B6)&lt;=0,IF(B7&lt;=B3*B4*(1-B5)^Inputs!B17,1+Inputs!B17,"none"),IF(ABS(1-(1-B5)*(1+B6))&lt;0.000001,IF(B7/(B3*B4*(1-B5)^Inputs!B17)&lt;=60-Inputs!B17,ROUNDUP(B7/(B3*B4*(1-B5)^Inputs!B17),0)+Inputs!B17,"none"),IF(1-B7*(1-(1-B5)*(1+B6))/(B3*B4*(1-B5)^Inputs!B17)&lt;=0,"none",IF(ROUNDUP(LN(1-B7*(1-(1-B5)*(1+B6))/(B3*B4*(1-B5)^Inputs!B17))/LN((1-B5)*(1+B6)),0)&lt;=60-Inputs!B17,ROUNDUP(LN(1-B7*(1-(1-B5)*(1+B6))/(B3*B4*(1-B5)^Inputs!B17))/LN((1-B5)*(1+B6)),0)+Inputs!B17,"none"))))))</f>
        <v>1</v>
      </c>
    </row>
    <row r="15" customFormat="false" ht="15" hidden="false" customHeight="false" outlineLevel="0" collapsed="false">
      <c r="A15" s="6" t="s">
        <v>24</v>
      </c>
      <c r="B15" s="6" t="s">
        <v>96</v>
      </c>
      <c r="C15" s="6" t="s">
        <v>97</v>
      </c>
      <c r="D15" s="6" t="s">
        <v>98</v>
      </c>
      <c r="E15" s="6" t="s">
        <v>99</v>
      </c>
      <c r="F15" s="6" t="s">
        <v>100</v>
      </c>
      <c r="G15" s="6" t="s">
        <v>101</v>
      </c>
      <c r="H15" s="6" t="s">
        <v>102</v>
      </c>
      <c r="I15" s="6" t="s">
        <v>103</v>
      </c>
      <c r="J15" s="6" t="s">
        <v>104</v>
      </c>
      <c r="K15" s="6" t="s">
        <v>105</v>
      </c>
      <c r="L15" s="6" t="s">
        <v>106</v>
      </c>
    </row>
    <row r="16" customFormat="false" ht="15" hidden="false" customHeight="false" outlineLevel="0" collapsed="false">
      <c r="A16" s="0" t="n">
        <v>1</v>
      </c>
      <c r="B16" s="20" t="n">
        <f aca="false">IF(Inputs!B22=0,1,1/(1+EXP(-Inputs!B22*(A16-Inputs!B21))))</f>
        <v>0.268941421369995</v>
      </c>
      <c r="C16" s="31" t="n">
        <f aca="false">IF(A16-Inputs!B23&lt;1,0,$B$9*IF(Inputs!B22=0,1,1/(1+EXP(-Inputs!B22*(A16-Inputs!B23-Inputs!B21)))))</f>
        <v>0</v>
      </c>
      <c r="D16" s="31" t="n">
        <f aca="true">Inputs!B19*(1-$B$5)+IF(A16-Inputs!B17&lt;1,0,OFFSET(C16,-Inputs!B17,0)*(1-$B$5)^Inputs!B17)</f>
        <v>0</v>
      </c>
      <c r="E16" s="13" t="n">
        <f aca="false">IF(D16&gt;0,F16/D16,0)</f>
        <v>0</v>
      </c>
      <c r="F16" s="13" t="n">
        <f aca="true">Inputs!B20*(1-$B$5)*(1+$B$6)+IF(A16-Inputs!B17&lt;1,0,OFFSET(C16,-Inputs!B17,0)*(1-$B$5)^Inputs!B17)*$B$3</f>
        <v>0</v>
      </c>
      <c r="G16" s="13" t="n">
        <f aca="false">F16*$B$4</f>
        <v>0</v>
      </c>
      <c r="H16" s="13" t="n">
        <f aca="false">$B$9*B16*$B$7</f>
        <v>94.1294974794983</v>
      </c>
      <c r="I16" s="13" t="n">
        <f aca="false">$B$8</f>
        <v>17000</v>
      </c>
      <c r="J16" s="13" t="n">
        <f aca="false">G16-H16-I16</f>
        <v>-17094.1294974795</v>
      </c>
      <c r="K16" s="13" t="n">
        <f aca="false">J16-Inputs!B16</f>
        <v>-17094.1294974795</v>
      </c>
      <c r="L16" s="13" t="n">
        <f aca="false">MIN(J16:J51)</f>
        <v>-17094.1294974795</v>
      </c>
    </row>
    <row r="17" customFormat="false" ht="15" hidden="false" customHeight="false" outlineLevel="0" collapsed="false">
      <c r="A17" s="0" t="n">
        <v>2</v>
      </c>
      <c r="B17" s="20" t="n">
        <f aca="false">IF(Inputs!B22=0,1,1/(1+EXP(-Inputs!B22*(A17-Inputs!B21))))</f>
        <v>0.5</v>
      </c>
      <c r="C17" s="31" t="n">
        <f aca="false">IF(A17-Inputs!B23&lt;1,0,$B$9*IF(Inputs!B22=0,1,1/(1+EXP(-Inputs!B22*(A17-Inputs!B23-Inputs!B21)))))</f>
        <v>0.53788284273999</v>
      </c>
      <c r="D17" s="31" t="n">
        <f aca="true">D16*(1-$B$5)+IF(A17-Inputs!B17&lt;1,0,OFFSET(C17,-Inputs!B17,0)*(1-$B$5)^Inputs!B17)</f>
        <v>0.53788284273999</v>
      </c>
      <c r="E17" s="13" t="n">
        <f aca="false">IF(D17&gt;0,F17/D17,0)</f>
        <v>1500</v>
      </c>
      <c r="F17" s="13" t="n">
        <f aca="true">F16*(1-$B$5)*(1+$B$6)+IF(A17-Inputs!B17&lt;1,0,OFFSET(C17,-Inputs!B17,0)*(1-$B$5)^Inputs!B17)*$B$3</f>
        <v>806.824264109985</v>
      </c>
      <c r="G17" s="13" t="n">
        <f aca="false">F17*$B$4</f>
        <v>423.582738657742</v>
      </c>
      <c r="H17" s="13" t="n">
        <f aca="false">$B$9*B17*$B$7</f>
        <v>175</v>
      </c>
      <c r="I17" s="13" t="n">
        <f aca="false">$B$8</f>
        <v>17000</v>
      </c>
      <c r="J17" s="13" t="n">
        <f aca="false">G17-H17-I17</f>
        <v>-16751.4172613423</v>
      </c>
      <c r="K17" s="13" t="n">
        <f aca="false">K16+J17</f>
        <v>-33845.5467588218</v>
      </c>
      <c r="L17" s="13" t="n">
        <f aca="false">MIN(J17:J51)</f>
        <v>-16751.4172613423</v>
      </c>
    </row>
    <row r="18" customFormat="false" ht="15" hidden="false" customHeight="false" outlineLevel="0" collapsed="false">
      <c r="A18" s="0" t="n">
        <v>3</v>
      </c>
      <c r="B18" s="20" t="n">
        <f aca="false">IF(Inputs!B22=0,1,1/(1+EXP(-Inputs!B22*(A18-Inputs!B21))))</f>
        <v>0.731058578630005</v>
      </c>
      <c r="C18" s="31" t="n">
        <f aca="false">IF(A18-Inputs!B23&lt;1,0,$B$9*IF(Inputs!B22=0,1,1/(1+EXP(-Inputs!B22*(A18-Inputs!B23-Inputs!B21)))))</f>
        <v>1</v>
      </c>
      <c r="D18" s="31" t="n">
        <f aca="true">D17*(1-$B$5)+IF(A18-Inputs!B17&lt;1,0,OFFSET(C18,-Inputs!B17,0)*(1-$B$5)^Inputs!B17)</f>
        <v>1.52174635745779</v>
      </c>
      <c r="E18" s="13" t="n">
        <f aca="false">IF(D18&gt;0,F18/D18,0)</f>
        <v>1505.14290395604</v>
      </c>
      <c r="F18" s="13" t="n">
        <f aca="true">F17*(1-$B$5)*(1+$B$6)+IF(A18-Inputs!B17&lt;1,0,OFFSET(C18,-Inputs!B17,0)*(1-$B$5)^Inputs!B17)*$B$3</f>
        <v>2290.44573154855</v>
      </c>
      <c r="G18" s="13" t="n">
        <f aca="false">F18*$B$4</f>
        <v>1202.48400906299</v>
      </c>
      <c r="H18" s="13" t="n">
        <f aca="false">$B$9*B18*$B$7</f>
        <v>255.870502520502</v>
      </c>
      <c r="I18" s="13" t="n">
        <f aca="false">$B$8</f>
        <v>17000</v>
      </c>
      <c r="J18" s="13" t="n">
        <f aca="false">G18-H18-I18</f>
        <v>-16053.3864934575</v>
      </c>
      <c r="K18" s="13" t="n">
        <f aca="false">K17+J18</f>
        <v>-49898.9332522793</v>
      </c>
      <c r="L18" s="13" t="n">
        <f aca="false">MIN(J18:J51)</f>
        <v>-16053.3864934575</v>
      </c>
    </row>
    <row r="19" customFormat="false" ht="15" hidden="false" customHeight="false" outlineLevel="0" collapsed="false">
      <c r="A19" s="0" t="n">
        <v>4</v>
      </c>
      <c r="B19" s="20" t="n">
        <f aca="false">IF(Inputs!B22=0,1,1/(1+EXP(-Inputs!B22*(A19-Inputs!B21))))</f>
        <v>0.880797077977882</v>
      </c>
      <c r="C19" s="31" t="n">
        <f aca="false">IF(A19-Inputs!B23&lt;1,0,$B$9*IF(Inputs!B22=0,1,1/(1+EXP(-Inputs!B22*(A19-Inputs!B23-Inputs!B21)))))</f>
        <v>1.46211715726001</v>
      </c>
      <c r="D19" s="31" t="n">
        <f aca="true">D18*(1-$B$5)+IF(A19-Inputs!B17&lt;1,0,OFFSET(C19,-Inputs!B17,0)*(1-$B$5)^Inputs!B17)</f>
        <v>2.93821112399407</v>
      </c>
      <c r="E19" s="13" t="n">
        <f aca="false">IF(D19&gt;0,F19/D19,0)</f>
        <v>1510.14519782245</v>
      </c>
      <c r="F19" s="13" t="n">
        <f aca="true">F18*(1-$B$5)*(1+$B$6)+IF(A19-Inputs!B17&lt;1,0,OFFSET(C19,-Inputs!B17,0)*(1-$B$5)^Inputs!B17)*$B$3</f>
        <v>4437.12541908813</v>
      </c>
      <c r="G19" s="13" t="n">
        <f aca="false">F19*$B$4</f>
        <v>2329.49084502127</v>
      </c>
      <c r="H19" s="13" t="n">
        <f aca="false">$B$9*B19*$B$7</f>
        <v>308.278977292259</v>
      </c>
      <c r="I19" s="13" t="n">
        <f aca="false">$B$8</f>
        <v>17000</v>
      </c>
      <c r="J19" s="13" t="n">
        <f aca="false">G19-H19-I19</f>
        <v>-14978.788132271</v>
      </c>
      <c r="K19" s="13" t="n">
        <f aca="false">K18+J19</f>
        <v>-64877.7213845503</v>
      </c>
      <c r="L19" s="13" t="n">
        <f aca="false">MIN(J19:J51)</f>
        <v>-14978.788132271</v>
      </c>
    </row>
    <row r="20" customFormat="false" ht="15" hidden="false" customHeight="false" outlineLevel="0" collapsed="false">
      <c r="A20" s="0" t="n">
        <v>5</v>
      </c>
      <c r="B20" s="20" t="n">
        <f aca="false">IF(Inputs!B22=0,1,1/(1+EXP(-Inputs!B22*(A20-Inputs!B21))))</f>
        <v>0.952574126822433</v>
      </c>
      <c r="C20" s="31" t="n">
        <f aca="false">IF(A20-Inputs!B23&lt;1,0,$B$9*IF(Inputs!B22=0,1,1/(1+EXP(-Inputs!B22*(A20-Inputs!B23-Inputs!B21)))))</f>
        <v>1.76159415595576</v>
      </c>
      <c r="D20" s="31" t="n">
        <f aca="true">D19*(1-$B$5)+IF(A20-Inputs!B17&lt;1,0,OFFSET(C20,-Inputs!B17,0)*(1-$B$5)^Inputs!B17)</f>
        <v>4.61165894623001</v>
      </c>
      <c r="E20" s="13" t="n">
        <f aca="false">IF(D20&gt;0,F20/D20,0)</f>
        <v>1515.60275564786</v>
      </c>
      <c r="F20" s="13" t="n">
        <f aca="true">F19*(1-$B$5)*(1+$B$6)+IF(A20-Inputs!B17&lt;1,0,OFFSET(C20,-Inputs!B17,0)*(1-$B$5)^Inputs!B17)*$B$3</f>
        <v>6989.44300701429</v>
      </c>
      <c r="G20" s="13" t="n">
        <f aca="false">F20*$B$4</f>
        <v>3669.4575786825</v>
      </c>
      <c r="H20" s="13" t="n">
        <f aca="false">$B$9*B20*$B$7</f>
        <v>333.400944387852</v>
      </c>
      <c r="I20" s="13" t="n">
        <f aca="false">$B$8</f>
        <v>17000</v>
      </c>
      <c r="J20" s="13" t="n">
        <f aca="false">G20-H20-I20</f>
        <v>-13663.9433657054</v>
      </c>
      <c r="K20" s="13" t="n">
        <f aca="false">K19+J20</f>
        <v>-78541.6647502556</v>
      </c>
      <c r="L20" s="13" t="n">
        <f aca="false">MIN(J20:J51)</f>
        <v>-13663.9433657054</v>
      </c>
    </row>
    <row r="21" customFormat="false" ht="15" hidden="false" customHeight="false" outlineLevel="0" collapsed="false">
      <c r="A21" s="0" t="n">
        <v>6</v>
      </c>
      <c r="B21" s="20" t="n">
        <f aca="false">IF(Inputs!B22=0,1,1/(1+EXP(-Inputs!B22*(A21-Inputs!B21))))</f>
        <v>0.982013790037909</v>
      </c>
      <c r="C21" s="31" t="n">
        <f aca="false">IF(A21-Inputs!B23&lt;1,0,$B$9*IF(Inputs!B22=0,1,1/(1+EXP(-Inputs!B22*(A21-Inputs!B23-Inputs!B21)))))</f>
        <v>1.90514825364487</v>
      </c>
      <c r="D21" s="31" t="n">
        <f aca="true">D20*(1-$B$5)+IF(A21-Inputs!B17&lt;1,0,OFFSET(C21,-Inputs!B17,0)*(1-$B$5)^Inputs!B17)</f>
        <v>6.37845743148798</v>
      </c>
      <c r="E21" s="13" t="n">
        <f aca="false">IF(D21&gt;0,F21/D21,0)</f>
        <v>1521.57160233256</v>
      </c>
      <c r="F21" s="13" t="n">
        <f aca="true">F20*(1-$B$5)*(1+$B$6)+IF(A21-Inputs!B17&lt;1,0,OFFSET(C21,-Inputs!B17,0)*(1-$B$5)^Inputs!B17)*$B$3</f>
        <v>9705.2796944392</v>
      </c>
      <c r="G21" s="13" t="n">
        <f aca="false">F21*$B$4</f>
        <v>5095.27183958058</v>
      </c>
      <c r="H21" s="13" t="n">
        <f aca="false">$B$9*B21*$B$7</f>
        <v>343.704826513268</v>
      </c>
      <c r="I21" s="13" t="n">
        <f aca="false">$B$8</f>
        <v>17000</v>
      </c>
      <c r="J21" s="13" t="n">
        <f aca="false">G21-H21-I21</f>
        <v>-12248.4329869327</v>
      </c>
      <c r="K21" s="13" t="n">
        <f aca="false">K20+J21</f>
        <v>-90790.0977371883</v>
      </c>
      <c r="L21" s="13" t="n">
        <f aca="false">MIN(J21:J51)</f>
        <v>-12248.4329869327</v>
      </c>
    </row>
    <row r="22" customFormat="false" ht="15" hidden="false" customHeight="false" outlineLevel="0" collapsed="false">
      <c r="A22" s="0" t="n">
        <v>7</v>
      </c>
      <c r="B22" s="20" t="n">
        <f aca="false">IF(Inputs!B22=0,1,1/(1+EXP(-Inputs!B22*(A22-Inputs!B21))))</f>
        <v>0.993307149075715</v>
      </c>
      <c r="C22" s="31" t="n">
        <f aca="false">IF(A22-Inputs!B23&lt;1,0,$B$9*IF(Inputs!B22=0,1,1/(1+EXP(-Inputs!B22*(A22-Inputs!B23-Inputs!B21)))))</f>
        <v>1.96402758007582</v>
      </c>
      <c r="D22" s="31" t="n">
        <f aca="true">D21*(1-$B$5)+IF(A22-Inputs!B17&lt;1,0,OFFSET(C22,-Inputs!B17,0)*(1-$B$5)^Inputs!B17)</f>
        <v>8.15113128861915</v>
      </c>
      <c r="E22" s="13" t="n">
        <f aca="false">IF(D22&gt;0,F22/D22,0)</f>
        <v>1527.92335760128</v>
      </c>
      <c r="F22" s="13" t="n">
        <f aca="true">F21*(1-$B$5)*(1+$B$6)+IF(A22-Inputs!B17&lt;1,0,OFFSET(C22,-Inputs!B17,0)*(1-$B$5)^Inputs!B17)*$B$3</f>
        <v>12454.3038867558</v>
      </c>
      <c r="G22" s="13" t="n">
        <f aca="false">F22*$B$4</f>
        <v>6538.5095405468</v>
      </c>
      <c r="H22" s="13" t="n">
        <f aca="false">$B$9*B22*$B$7</f>
        <v>347.6575021765</v>
      </c>
      <c r="I22" s="13" t="n">
        <f aca="false">$B$8</f>
        <v>17000</v>
      </c>
      <c r="J22" s="13" t="n">
        <f aca="false">G22-H22-I22</f>
        <v>-10809.1479616297</v>
      </c>
      <c r="K22" s="13" t="n">
        <f aca="false">K21+J22</f>
        <v>-101599.245698818</v>
      </c>
      <c r="L22" s="13" t="n">
        <f aca="false">MIN(J22:J51)</f>
        <v>-10809.1479616297</v>
      </c>
    </row>
    <row r="23" customFormat="false" ht="15" hidden="false" customHeight="false" outlineLevel="0" collapsed="false">
      <c r="A23" s="0" t="n">
        <v>8</v>
      </c>
      <c r="B23" s="20" t="n">
        <f aca="false">IF(Inputs!B22=0,1,1/(1+EXP(-Inputs!B22*(A23-Inputs!B21))))</f>
        <v>0.997527376843365</v>
      </c>
      <c r="C23" s="31" t="n">
        <f aca="false">IF(A23-Inputs!B23&lt;1,0,$B$9*IF(Inputs!B22=0,1,1/(1+EXP(-Inputs!B22*(A23-Inputs!B23-Inputs!B21)))))</f>
        <v>1.98661429815143</v>
      </c>
      <c r="D23" s="31" t="n">
        <f aca="true">D22*(1-$B$5)+IF(A23-Inputs!B17&lt;1,0,OFFSET(C23,-Inputs!B17,0)*(1-$B$5)^Inputs!B17)</f>
        <v>9.89321164811201</v>
      </c>
      <c r="E23" s="13" t="n">
        <f aca="false">IF(D23&gt;0,F23/D23,0)</f>
        <v>1534.52726021271</v>
      </c>
      <c r="F23" s="13" t="n">
        <f aca="true">F22*(1-$B$5)*(1+$B$6)+IF(A23-Inputs!B17&lt;1,0,OFFSET(C23,-Inputs!B17,0)*(1-$B$5)^Inputs!B17)*$B$3</f>
        <v>15181.4029650818</v>
      </c>
      <c r="G23" s="13" t="n">
        <f aca="false">F23*$B$4</f>
        <v>7970.23655666795</v>
      </c>
      <c r="H23" s="13" t="n">
        <f aca="false">$B$9*B23*$B$7</f>
        <v>349.134581895178</v>
      </c>
      <c r="I23" s="13" t="n">
        <f aca="false">$B$8</f>
        <v>17000</v>
      </c>
      <c r="J23" s="13" t="n">
        <f aca="false">G23-H23-I23</f>
        <v>-9378.89802522723</v>
      </c>
      <c r="K23" s="13" t="n">
        <f aca="false">K22+J23</f>
        <v>-110978.143724045</v>
      </c>
      <c r="L23" s="13" t="n">
        <f aca="false">MIN(J23:J51)</f>
        <v>-9378.89802522723</v>
      </c>
    </row>
    <row r="24" customFormat="false" ht="15" hidden="false" customHeight="false" outlineLevel="0" collapsed="false">
      <c r="A24" s="0" t="n">
        <v>9</v>
      </c>
      <c r="B24" s="20" t="n">
        <f aca="false">IF(Inputs!B22=0,1,1/(1+EXP(-Inputs!B22*(A24-Inputs!B21))))</f>
        <v>0.999088948805599</v>
      </c>
      <c r="C24" s="31" t="n">
        <f aca="false">IF(A24-Inputs!B23&lt;1,0,$B$9*IF(Inputs!B22=0,1,1/(1+EXP(-Inputs!B22*(A24-Inputs!B23-Inputs!B21)))))</f>
        <v>1.99505475368673</v>
      </c>
      <c r="D24" s="31" t="n">
        <f aca="true">D23*(1-$B$5)+IF(A24-Inputs!B17&lt;1,0,OFFSET(C24,-Inputs!B17,0)*(1-$B$5)^Inputs!B17)</f>
        <v>11.5914700523554</v>
      </c>
      <c r="E24" s="13" t="n">
        <f aca="false">IF(D24&gt;0,F24/D24,0)</f>
        <v>1541.28876964923</v>
      </c>
      <c r="F24" s="13" t="n">
        <f aca="true">F23*(1-$B$5)*(1+$B$6)+IF(A24-Inputs!B17&lt;1,0,OFFSET(C24,-Inputs!B17,0)*(1-$B$5)^Inputs!B17)*$B$3</f>
        <v>17865.8026154207</v>
      </c>
      <c r="G24" s="13" t="n">
        <f aca="false">F24*$B$4</f>
        <v>9379.54637309589</v>
      </c>
      <c r="H24" s="13" t="n">
        <f aca="false">$B$9*B24*$B$7</f>
        <v>349.68113208196</v>
      </c>
      <c r="I24" s="13" t="n">
        <f aca="false">$B$8</f>
        <v>17000</v>
      </c>
      <c r="J24" s="13" t="n">
        <f aca="false">G24-H24-I24</f>
        <v>-7970.13475898607</v>
      </c>
      <c r="K24" s="13" t="n">
        <f aca="false">K23+J24</f>
        <v>-118948.278483031</v>
      </c>
      <c r="L24" s="13" t="n">
        <f aca="false">MIN(J24:J51)</f>
        <v>-7970.13475898607</v>
      </c>
    </row>
    <row r="25" customFormat="false" ht="15" hidden="false" customHeight="false" outlineLevel="0" collapsed="false">
      <c r="A25" s="0" t="n">
        <v>10</v>
      </c>
      <c r="B25" s="20" t="n">
        <f aca="false">IF(Inputs!B22=0,1,1/(1+EXP(-Inputs!B22*(A25-Inputs!B21))))</f>
        <v>0.999664649869534</v>
      </c>
      <c r="C25" s="31" t="n">
        <f aca="false">IF(A25-Inputs!B23&lt;1,0,$B$9*IF(Inputs!B22=0,1,1/(1+EXP(-Inputs!B22*(A25-Inputs!B23-Inputs!B21)))))</f>
        <v>1.9981778976112</v>
      </c>
      <c r="D25" s="31" t="n">
        <f aca="true">D24*(1-$B$5)+IF(A25-Inputs!B17&lt;1,0,OFFSET(C25,-Inputs!B17,0)*(1-$B$5)^Inputs!B17)</f>
        <v>13.2419038483959</v>
      </c>
      <c r="E25" s="13" t="n">
        <f aca="false">IF(D25&gt;0,F25/D25,0)</f>
        <v>1548.14548598522</v>
      </c>
      <c r="F25" s="13" t="n">
        <f aca="true">F24*(1-$B$5)*(1+$B$6)+IF(A25-Inputs!B17&lt;1,0,OFFSET(C25,-Inputs!B17,0)*(1-$B$5)^Inputs!B17)*$B$3</f>
        <v>20500.3936687445</v>
      </c>
      <c r="G25" s="13" t="n">
        <f aca="false">F25*$B$4</f>
        <v>10762.7066760909</v>
      </c>
      <c r="H25" s="13" t="n">
        <f aca="false">$B$9*B25*$B$7</f>
        <v>349.882627454337</v>
      </c>
      <c r="I25" s="13" t="n">
        <f aca="false">$B$8</f>
        <v>17000</v>
      </c>
      <c r="J25" s="13" t="n">
        <f aca="false">G25-H25-I25</f>
        <v>-6587.17595136347</v>
      </c>
      <c r="K25" s="13" t="n">
        <f aca="false">K24+J25</f>
        <v>-125535.454434395</v>
      </c>
      <c r="L25" s="13" t="n">
        <f aca="false">MIN(J25:J51)</f>
        <v>-6587.17595136347</v>
      </c>
    </row>
    <row r="26" customFormat="false" ht="15" hidden="false" customHeight="false" outlineLevel="0" collapsed="false">
      <c r="A26" s="0" t="n">
        <v>11</v>
      </c>
      <c r="B26" s="20" t="n">
        <f aca="false">IF(Inputs!B22=0,1,1/(1+EXP(-Inputs!B22*(A26-Inputs!B21))))</f>
        <v>0.999876605424014</v>
      </c>
      <c r="C26" s="31" t="n">
        <f aca="false">IF(A26-Inputs!B23&lt;1,0,$B$9*IF(Inputs!B22=0,1,1/(1+EXP(-Inputs!B22*(A26-Inputs!B23-Inputs!B21)))))</f>
        <v>1.99932929973907</v>
      </c>
      <c r="D26" s="31" t="n">
        <f aca="true">D25*(1-$B$5)+IF(A26-Inputs!B17&lt;1,0,OFFSET(C26,-Inputs!B17,0)*(1-$B$5)^Inputs!B17)</f>
        <v>14.8439760326831</v>
      </c>
      <c r="E26" s="13" t="n">
        <f aca="false">IF(D26&gt;0,F26/D26,0)</f>
        <v>1555.05705318127</v>
      </c>
      <c r="F26" s="13" t="n">
        <f aca="true">F25*(1-$B$5)*(1+$B$6)+IF(A26-Inputs!B17&lt;1,0,OFFSET(C26,-Inputs!B17,0)*(1-$B$5)^Inputs!B17)*$B$3</f>
        <v>23083.2296268776</v>
      </c>
      <c r="G26" s="13" t="n">
        <f aca="false">F26*$B$4</f>
        <v>12118.6955541107</v>
      </c>
      <c r="H26" s="13" t="n">
        <f aca="false">$B$9*B26*$B$7</f>
        <v>349.956811898405</v>
      </c>
      <c r="I26" s="13" t="n">
        <f aca="false">$B$8</f>
        <v>17000</v>
      </c>
      <c r="J26" s="13" t="n">
        <f aca="false">G26-H26-I26</f>
        <v>-5231.26125778767</v>
      </c>
      <c r="K26" s="13" t="n">
        <f aca="false">K25+J26</f>
        <v>-130766.715692182</v>
      </c>
      <c r="L26" s="13" t="n">
        <f aca="false">MIN(J26:J51)</f>
        <v>-5231.26125778767</v>
      </c>
    </row>
    <row r="27" customFormat="false" ht="15" hidden="false" customHeight="false" outlineLevel="0" collapsed="false">
      <c r="A27" s="0" t="n">
        <v>12</v>
      </c>
      <c r="B27" s="20" t="n">
        <f aca="false">IF(Inputs!B22=0,1,1/(1+EXP(-Inputs!B22*(A27-Inputs!B21))))</f>
        <v>0.999954602131298</v>
      </c>
      <c r="C27" s="31" t="n">
        <f aca="false">IF(A27-Inputs!B23&lt;1,0,$B$9*IF(Inputs!B22=0,1,1/(1+EXP(-Inputs!B22*(A27-Inputs!B23-Inputs!B21)))))</f>
        <v>1.99975321084803</v>
      </c>
      <c r="D27" s="31" t="n">
        <f aca="true">D26*(1-$B$5)+IF(A27-Inputs!B17&lt;1,0,OFFSET(C27,-Inputs!B17,0)*(1-$B$5)^Inputs!B17)</f>
        <v>16.3984099625506</v>
      </c>
      <c r="E27" s="13" t="n">
        <f aca="false">IF(D27&gt;0,F27/D27,0)</f>
        <v>1561.99716559226</v>
      </c>
      <c r="F27" s="13" t="n">
        <f aca="true">F26*(1-$B$5)*(1+$B$6)+IF(A27-Inputs!B17&lt;1,0,OFFSET(C27,-Inputs!B17,0)*(1-$B$5)^Inputs!B17)*$B$3</f>
        <v>25614.269881724</v>
      </c>
      <c r="G27" s="13" t="n">
        <f aca="false">F27*$B$4</f>
        <v>13447.4916879051</v>
      </c>
      <c r="H27" s="13" t="n">
        <f aca="false">$B$9*B27*$B$7</f>
        <v>349.984110745954</v>
      </c>
      <c r="I27" s="13" t="n">
        <f aca="false">$B$8</f>
        <v>17000</v>
      </c>
      <c r="J27" s="13" t="n">
        <f aca="false">G27-H27-I27</f>
        <v>-3902.49242284085</v>
      </c>
      <c r="K27" s="13" t="n">
        <f aca="false">K26+J27</f>
        <v>-134669.208115023</v>
      </c>
      <c r="L27" s="13" t="n">
        <f aca="false">MIN(J27:J51)</f>
        <v>-3902.49242284085</v>
      </c>
    </row>
    <row r="28" customFormat="false" ht="15" hidden="false" customHeight="false" outlineLevel="0" collapsed="false">
      <c r="A28" s="0" t="n">
        <v>13</v>
      </c>
      <c r="B28" s="20" t="n">
        <f aca="false">IF(Inputs!B22=0,1,1/(1+EXP(-Inputs!B22*(A28-Inputs!B21))))</f>
        <v>0.999983298578152</v>
      </c>
      <c r="C28" s="31" t="n">
        <f aca="false">IF(A28-Inputs!B23&lt;1,0,$B$9*IF(Inputs!B22=0,1,1/(1+EXP(-Inputs!B22*(A28-Inputs!B23-Inputs!B21)))))</f>
        <v>1.9999092042626</v>
      </c>
      <c r="D28" s="31" t="n">
        <f aca="true">D27*(1-$B$5)+IF(A28-Inputs!B17&lt;1,0,OFFSET(C28,-Inputs!B17,0)*(1-$B$5)^Inputs!B17)</f>
        <v>17.9063668679367</v>
      </c>
      <c r="E28" s="13" t="n">
        <f aca="false">IF(D28&gt;0,F28/D28,0)</f>
        <v>1568.94830853849</v>
      </c>
      <c r="F28" s="13" t="n">
        <f aca="true">F27*(1-$B$5)*(1+$B$6)+IF(A28-Inputs!B17&lt;1,0,OFFSET(C28,-Inputs!B17,0)*(1-$B$5)^Inputs!B17)*$B$3</f>
        <v>28094.1640095189</v>
      </c>
      <c r="G28" s="13" t="n">
        <f aca="false">F28*$B$4</f>
        <v>14749.4361049974</v>
      </c>
      <c r="H28" s="13" t="n">
        <f aca="false">$B$9*B28*$B$7</f>
        <v>349.994154502353</v>
      </c>
      <c r="I28" s="13" t="n">
        <f aca="false">$B$8</f>
        <v>17000</v>
      </c>
      <c r="J28" s="13" t="n">
        <f aca="false">G28-H28-I28</f>
        <v>-2600.55804950493</v>
      </c>
      <c r="K28" s="13" t="n">
        <f aca="false">K27+J28</f>
        <v>-137269.766164528</v>
      </c>
      <c r="L28" s="13" t="n">
        <f aca="false">MIN(J28:J51)</f>
        <v>-2600.55804950493</v>
      </c>
    </row>
    <row r="29" customFormat="false" ht="15" hidden="false" customHeight="false" outlineLevel="0" collapsed="false">
      <c r="A29" s="0" t="n">
        <v>14</v>
      </c>
      <c r="B29" s="20" t="n">
        <f aca="false">IF(Inputs!B22=0,1,1/(1+EXP(-Inputs!B22*(A29-Inputs!B21))))</f>
        <v>0.999993855825398</v>
      </c>
      <c r="C29" s="31" t="n">
        <f aca="false">IF(A29-Inputs!B23&lt;1,0,$B$9*IF(Inputs!B22=0,1,1/(1+EXP(-Inputs!B22*(A29-Inputs!B23-Inputs!B21)))))</f>
        <v>1.9999665971563</v>
      </c>
      <c r="D29" s="31" t="n">
        <f aca="true">D28*(1-$B$5)+IF(A29-Inputs!B17&lt;1,0,OFFSET(C29,-Inputs!B17,0)*(1-$B$5)^Inputs!B17)</f>
        <v>19.3691424590549</v>
      </c>
      <c r="E29" s="13" t="n">
        <f aca="false">IF(D29&gt;0,F29/D29,0)</f>
        <v>1575.89849113792</v>
      </c>
      <c r="F29" s="13" t="n">
        <f aca="true">F28*(1-$B$5)*(1+$B$6)+IF(A29-Inputs!B17&lt;1,0,OFFSET(C29,-Inputs!B17,0)*(1-$B$5)^Inputs!B17)*$B$3</f>
        <v>30523.8023758601</v>
      </c>
      <c r="G29" s="13" t="n">
        <f aca="false">F29*$B$4</f>
        <v>16024.9962473266</v>
      </c>
      <c r="H29" s="13" t="n">
        <f aca="false">$B$9*B29*$B$7</f>
        <v>349.997849538889</v>
      </c>
      <c r="I29" s="13" t="n">
        <f aca="false">$B$8</f>
        <v>17000</v>
      </c>
      <c r="J29" s="13" t="n">
        <f aca="false">G29-H29-I29</f>
        <v>-1325.00160221232</v>
      </c>
      <c r="K29" s="13" t="n">
        <f aca="false">K28+J29</f>
        <v>-138594.767766741</v>
      </c>
      <c r="L29" s="13" t="n">
        <f aca="false">MIN(J29:J51)</f>
        <v>-1325.00160221232</v>
      </c>
    </row>
    <row r="30" customFormat="false" ht="15" hidden="false" customHeight="false" outlineLevel="0" collapsed="false">
      <c r="A30" s="0" t="n">
        <v>15</v>
      </c>
      <c r="B30" s="20" t="n">
        <f aca="false">IF(Inputs!B22=0,1,1/(1+EXP(-Inputs!B22*(A30-Inputs!B21))))</f>
        <v>0.999997739675702</v>
      </c>
      <c r="C30" s="31" t="n">
        <f aca="false">IF(A30-Inputs!B23&lt;1,0,$B$9*IF(Inputs!B22=0,1,1/(1+EXP(-Inputs!B22*(A30-Inputs!B23-Inputs!B21)))))</f>
        <v>1.9999877116508</v>
      </c>
      <c r="D30" s="31" t="n">
        <f aca="true">D29*(1-$B$5)+IF(A30-Inputs!B17&lt;1,0,OFFSET(C30,-Inputs!B17,0)*(1-$B$5)^Inputs!B17)</f>
        <v>20.7880558969341</v>
      </c>
      <c r="E30" s="13" t="n">
        <f aca="false">IF(D30&gt;0,F30/D30,0)</f>
        <v>1582.83924760657</v>
      </c>
      <c r="F30" s="13" t="n">
        <f aca="true">F29*(1-$B$5)*(1+$B$6)+IF(A30-Inputs!B17&lt;1,0,OFFSET(C30,-Inputs!B17,0)*(1-$B$5)^Inputs!B17)*$B$3</f>
        <v>32904.1507551064</v>
      </c>
      <c r="G30" s="13" t="n">
        <f aca="false">F30*$B$4</f>
        <v>17274.6791464308</v>
      </c>
      <c r="H30" s="13" t="n">
        <f aca="false">$B$9*B30*$B$7</f>
        <v>349.999208886496</v>
      </c>
      <c r="I30" s="13" t="n">
        <f aca="false">$B$8</f>
        <v>17000</v>
      </c>
      <c r="J30" s="13" t="n">
        <f aca="false">G30-H30-I30</f>
        <v>-75.3200624556557</v>
      </c>
      <c r="K30" s="13" t="n">
        <f aca="false">K29+J30</f>
        <v>-138670.087829196</v>
      </c>
      <c r="L30" s="13" t="n">
        <f aca="false">MIN(J30:J51)</f>
        <v>-75.3200624556557</v>
      </c>
    </row>
    <row r="31" customFormat="false" ht="15" hidden="false" customHeight="false" outlineLevel="0" collapsed="false">
      <c r="A31" s="0" t="n">
        <v>16</v>
      </c>
      <c r="B31" s="20" t="n">
        <f aca="false">IF(Inputs!B22=0,1,1/(1+EXP(-Inputs!B22*(A31-Inputs!B21))))</f>
        <v>0.999999168471972</v>
      </c>
      <c r="C31" s="31" t="n">
        <f aca="false">IF(A31-Inputs!B23&lt;1,0,$B$9*IF(Inputs!B22=0,1,1/(1+EXP(-Inputs!B22*(A31-Inputs!B23-Inputs!B21)))))</f>
        <v>1.9999954793514</v>
      </c>
      <c r="D31" s="31" t="n">
        <f aca="true">D30*(1-$B$5)+IF(A31-Inputs!B17&lt;1,0,OFFSET(C31,-Inputs!B17,0)*(1-$B$5)^Inputs!B17)</f>
        <v>22.1644096993775</v>
      </c>
      <c r="E31" s="13" t="n">
        <f aca="false">IF(D31&gt;0,F31/D31,0)</f>
        <v>1589.764410229</v>
      </c>
      <c r="F31" s="13" t="n">
        <f aca="true">F30*(1-$B$5)*(1+$B$6)+IF(A31-Inputs!B17&lt;1,0,OFFSET(C31,-Inputs!B17,0)*(1-$B$5)^Inputs!B17)*$B$3</f>
        <v>35236.1897138048</v>
      </c>
      <c r="G31" s="13" t="n">
        <f aca="false">F31*$B$4</f>
        <v>18498.9995997475</v>
      </c>
      <c r="H31" s="13" t="n">
        <f aca="false">$B$9*B31*$B$7</f>
        <v>349.99970896519</v>
      </c>
      <c r="I31" s="13" t="n">
        <f aca="false">$B$8</f>
        <v>17000</v>
      </c>
      <c r="J31" s="13" t="n">
        <f aca="false">G31-H31-I31</f>
        <v>1148.99989078233</v>
      </c>
      <c r="K31" s="13" t="n">
        <f aca="false">K30+J31</f>
        <v>-137521.087938414</v>
      </c>
      <c r="L31" s="13" t="n">
        <f aca="false">MIN(J31:J51)</f>
        <v>1148.99989078233</v>
      </c>
    </row>
    <row r="32" customFormat="false" ht="15" hidden="false" customHeight="false" outlineLevel="0" collapsed="false">
      <c r="A32" s="0" t="n">
        <v>17</v>
      </c>
      <c r="B32" s="20" t="n">
        <f aca="false">IF(Inputs!B22=0,1,1/(1+EXP(-Inputs!B22*(A32-Inputs!B21))))</f>
        <v>0.999999694097773</v>
      </c>
      <c r="C32" s="31" t="n">
        <f aca="false">IF(A32-Inputs!B23&lt;1,0,$B$9*IF(Inputs!B22=0,1,1/(1+EXP(-Inputs!B22*(A32-Inputs!B23-Inputs!B21)))))</f>
        <v>1.99999833694394</v>
      </c>
      <c r="D32" s="31" t="n">
        <f aca="true">D31*(1-$B$5)+IF(A32-Inputs!B17&lt;1,0,OFFSET(C32,-Inputs!B17,0)*(1-$B$5)^Inputs!B17)</f>
        <v>23.4994757453401</v>
      </c>
      <c r="E32" s="13" t="n">
        <f aca="false">IF(D32&gt;0,F32/D32,0)</f>
        <v>1596.66934593087</v>
      </c>
      <c r="F32" s="13" t="n">
        <f aca="true">F31*(1-$B$5)*(1+$B$6)+IF(A32-Inputs!B17&lt;1,0,OFFSET(C32,-Inputs!B17,0)*(1-$B$5)^Inputs!B17)*$B$3</f>
        <v>37520.8925680305</v>
      </c>
      <c r="G32" s="13" t="n">
        <f aca="false">F32*$B$4</f>
        <v>19698.468598216</v>
      </c>
      <c r="H32" s="13" t="n">
        <f aca="false">$B$9*B32*$B$7</f>
        <v>349.999892934221</v>
      </c>
      <c r="I32" s="13" t="n">
        <f aca="false">$B$8</f>
        <v>17000</v>
      </c>
      <c r="J32" s="13" t="n">
        <f aca="false">G32-H32-I32</f>
        <v>2348.46870528178</v>
      </c>
      <c r="K32" s="13" t="n">
        <f aca="false">K31+J32</f>
        <v>-135172.619233132</v>
      </c>
      <c r="L32" s="13" t="n">
        <f aca="false">MIN(J32:J51)</f>
        <v>2348.46870528178</v>
      </c>
    </row>
    <row r="33" customFormat="false" ht="15" hidden="false" customHeight="false" outlineLevel="0" collapsed="false">
      <c r="A33" s="0" t="n">
        <v>18</v>
      </c>
      <c r="B33" s="20" t="n">
        <f aca="false">IF(Inputs!B22=0,1,1/(1+EXP(-Inputs!B22*(A33-Inputs!B21))))</f>
        <v>0.999999887464838</v>
      </c>
      <c r="C33" s="31" t="n">
        <f aca="false">IF(A33-Inputs!B23&lt;1,0,$B$9*IF(Inputs!B22=0,1,1/(1+EXP(-Inputs!B22*(A33-Inputs!B23-Inputs!B21)))))</f>
        <v>1.99999938819555</v>
      </c>
      <c r="D33" s="31" t="n">
        <f aca="true">D32*(1-$B$5)+IF(A33-Inputs!B17&lt;1,0,OFFSET(C33,-Inputs!B17,0)*(1-$B$5)^Inputs!B17)</f>
        <v>24.7944908611754</v>
      </c>
      <c r="E33" s="13" t="n">
        <f aca="false">IF(D33&gt;0,F33/D33,0)</f>
        <v>1603.55047231278</v>
      </c>
      <c r="F33" s="13" t="n">
        <f aca="true">F32*(1-$B$5)*(1+$B$6)+IF(A33-Inputs!B17&lt;1,0,OFFSET(C33,-Inputs!B17,0)*(1-$B$5)^Inputs!B17)*$B$3</f>
        <v>39759.2175311928</v>
      </c>
      <c r="G33" s="13" t="n">
        <f aca="false">F33*$B$4</f>
        <v>20873.5892038762</v>
      </c>
      <c r="H33" s="13" t="n">
        <f aca="false">$B$9*B33*$B$7</f>
        <v>349.999960612693</v>
      </c>
      <c r="I33" s="13" t="n">
        <f aca="false">$B$8</f>
        <v>17000</v>
      </c>
      <c r="J33" s="13" t="n">
        <f aca="false">G33-H33-I33</f>
        <v>3523.58924326352</v>
      </c>
      <c r="K33" s="13" t="n">
        <f aca="false">K32+J33</f>
        <v>-131649.029989869</v>
      </c>
      <c r="L33" s="13" t="n">
        <f aca="false">MIN(J33:J51)</f>
        <v>3523.58924326352</v>
      </c>
    </row>
    <row r="34" customFormat="false" ht="15" hidden="false" customHeight="false" outlineLevel="0" collapsed="false">
      <c r="A34" s="0" t="n">
        <v>19</v>
      </c>
      <c r="B34" s="20" t="n">
        <f aca="false">IF(Inputs!B22=0,1,1/(1+EXP(-Inputs!B22*(A34-Inputs!B21))))</f>
        <v>0.999999958600624</v>
      </c>
      <c r="C34" s="31" t="n">
        <f aca="false">IF(A34-Inputs!B23&lt;1,0,$B$9*IF(Inputs!B22=0,1,1/(1+EXP(-Inputs!B22*(A34-Inputs!B23-Inputs!B21)))))</f>
        <v>1.99999977492968</v>
      </c>
      <c r="D34" s="31" t="n">
        <f aca="true">D33*(1-$B$5)+IF(A34-Inputs!B17&lt;1,0,OFFSET(C34,-Inputs!B17,0)*(1-$B$5)^Inputs!B17)</f>
        <v>26.0506559102698</v>
      </c>
      <c r="E34" s="13" t="n">
        <f aca="false">IF(D34&gt;0,F34/D34,0)</f>
        <v>1610.40494420586</v>
      </c>
      <c r="F34" s="13" t="n">
        <f aca="true">F33*(1-$B$5)*(1+$B$6)+IF(A34-Inputs!B17&lt;1,0,OFFSET(C34,-Inputs!B17,0)*(1-$B$5)^Inputs!B17)*$B$3</f>
        <v>41952.1050777041</v>
      </c>
      <c r="G34" s="13" t="n">
        <f aca="false">F34*$B$4</f>
        <v>22024.8551657946</v>
      </c>
      <c r="H34" s="13" t="n">
        <f aca="false">$B$9*B34*$B$7</f>
        <v>349.999985510219</v>
      </c>
      <c r="I34" s="13" t="n">
        <f aca="false">$B$8</f>
        <v>17000</v>
      </c>
      <c r="J34" s="13" t="n">
        <f aca="false">G34-H34-I34</f>
        <v>4674.85518028443</v>
      </c>
      <c r="K34" s="13" t="n">
        <f aca="false">K33+J34</f>
        <v>-126974.174809584</v>
      </c>
      <c r="L34" s="13" t="n">
        <f aca="false">MIN(J34:J51)</f>
        <v>4674.85518028443</v>
      </c>
    </row>
    <row r="35" customFormat="false" ht="15" hidden="false" customHeight="false" outlineLevel="0" collapsed="false">
      <c r="A35" s="0" t="n">
        <v>20</v>
      </c>
      <c r="B35" s="20" t="n">
        <f aca="false">IF(Inputs!B22=0,1,1/(1+EXP(-Inputs!B22*(A35-Inputs!B21))))</f>
        <v>0.999999984770021</v>
      </c>
      <c r="C35" s="31" t="n">
        <f aca="false">IF(A35-Inputs!B23&lt;1,0,$B$9*IF(Inputs!B22=0,1,1/(1+EXP(-Inputs!B22*(A35-Inputs!B23-Inputs!B21)))))</f>
        <v>1.99999991720125</v>
      </c>
      <c r="D35" s="31" t="n">
        <f aca="true">D34*(1-$B$5)+IF(A35-Inputs!B17&lt;1,0,OFFSET(C35,-Inputs!B17,0)*(1-$B$5)^Inputs!B17)</f>
        <v>27.269136150163</v>
      </c>
      <c r="E35" s="13" t="n">
        <f aca="false">IF(D35&gt;0,F35/D35,0)</f>
        <v>1617.23044608309</v>
      </c>
      <c r="F35" s="13" t="n">
        <f aca="true">F34*(1-$B$5)*(1+$B$6)+IF(A35-Inputs!B17&lt;1,0,OFFSET(C35,-Inputs!B17,0)*(1-$B$5)^Inputs!B17)*$B$3</f>
        <v>44100.4772204286</v>
      </c>
      <c r="G35" s="13" t="n">
        <f aca="false">F35*$B$4</f>
        <v>23152.750540725</v>
      </c>
      <c r="H35" s="13" t="n">
        <f aca="false">$B$9*B35*$B$7</f>
        <v>349.999994669507</v>
      </c>
      <c r="I35" s="13" t="n">
        <f aca="false">$B$8</f>
        <v>17000</v>
      </c>
      <c r="J35" s="13" t="n">
        <f aca="false">G35-H35-I35</f>
        <v>5802.75054605549</v>
      </c>
      <c r="K35" s="13" t="n">
        <f aca="false">K34+J35</f>
        <v>-121171.424263529</v>
      </c>
      <c r="L35" s="13" t="n">
        <f aca="false">MIN(J35:J51)</f>
        <v>5802.75054605549</v>
      </c>
    </row>
    <row r="36" customFormat="false" ht="15" hidden="false" customHeight="false" outlineLevel="0" collapsed="false">
      <c r="A36" s="0" t="n">
        <v>21</v>
      </c>
      <c r="B36" s="20" t="n">
        <f aca="false">IF(Inputs!B22=0,1,1/(1+EXP(-Inputs!B22*(A36-Inputs!B21))))</f>
        <v>0.999999994397204</v>
      </c>
      <c r="C36" s="31" t="n">
        <f aca="false">IF(A36-Inputs!B23&lt;1,0,$B$9*IF(Inputs!B22=0,1,1/(1+EXP(-Inputs!B22*(A36-Inputs!B23-Inputs!B21)))))</f>
        <v>1.99999996954004</v>
      </c>
      <c r="D36" s="31" t="n">
        <f aca="true">D35*(1-$B$5)+IF(A36-Inputs!B17&lt;1,0,OFFSET(C36,-Inputs!B17,0)*(1-$B$5)^Inputs!B17)</f>
        <v>28.4510620351981</v>
      </c>
      <c r="E36" s="13" t="n">
        <f aca="false">IF(D36&gt;0,F36/D36,0)</f>
        <v>1624.02505150779</v>
      </c>
      <c r="F36" s="13" t="n">
        <f aca="true">F35*(1-$B$5)*(1+$B$6)+IF(A36-Inputs!B17&lt;1,0,OFFSET(C36,-Inputs!B17,0)*(1-$B$5)^Inputs!B17)*$B$3</f>
        <v>46205.2374871639</v>
      </c>
      <c r="G36" s="13" t="n">
        <f aca="false">F36*$B$4</f>
        <v>24257.7496807611</v>
      </c>
      <c r="H36" s="13" t="n">
        <f aca="false">$B$9*B36*$B$7</f>
        <v>349.999998039021</v>
      </c>
      <c r="I36" s="13" t="n">
        <f aca="false">$B$8</f>
        <v>17000</v>
      </c>
      <c r="J36" s="13" t="n">
        <f aca="false">G36-H36-I36</f>
        <v>6907.74968272204</v>
      </c>
      <c r="K36" s="13" t="n">
        <f aca="false">K35+J36</f>
        <v>-114263.674580807</v>
      </c>
      <c r="L36" s="13" t="n">
        <f aca="false">MIN(J36:J51)</f>
        <v>6907.74968272204</v>
      </c>
    </row>
    <row r="37" customFormat="false" ht="15" hidden="false" customHeight="false" outlineLevel="0" collapsed="false">
      <c r="A37" s="0" t="n">
        <v>22</v>
      </c>
      <c r="B37" s="20" t="n">
        <f aca="false">IF(Inputs!B22=0,1,1/(1+EXP(-Inputs!B22*(A37-Inputs!B21))))</f>
        <v>0.999999997938846</v>
      </c>
      <c r="C37" s="31" t="n">
        <f aca="false">IF(A37-Inputs!B23&lt;1,0,$B$9*IF(Inputs!B22=0,1,1/(1+EXP(-Inputs!B22*(A37-Inputs!B23-Inputs!B21)))))</f>
        <v>1.99999998879441</v>
      </c>
      <c r="D37" s="31" t="n">
        <f aca="true">D36*(1-$B$5)+IF(A37-Inputs!B17&lt;1,0,OFFSET(C37,-Inputs!B17,0)*(1-$B$5)^Inputs!B17)</f>
        <v>29.5975301629366</v>
      </c>
      <c r="E37" s="13" t="n">
        <f aca="false">IF(D37&gt;0,F37/D37,0)</f>
        <v>1630.78712594096</v>
      </c>
      <c r="F37" s="13" t="n">
        <f aca="true">F36*(1-$B$5)*(1+$B$6)+IF(A37-Inputs!B17&lt;1,0,OFFSET(C37,-Inputs!B17,0)*(1-$B$5)^Inputs!B17)*$B$3</f>
        <v>48267.2711493661</v>
      </c>
      <c r="G37" s="13" t="n">
        <f aca="false">F37*$B$4</f>
        <v>25340.3173534172</v>
      </c>
      <c r="H37" s="13" t="n">
        <f aca="false">$B$9*B37*$B$7</f>
        <v>349.999999278596</v>
      </c>
      <c r="I37" s="13" t="n">
        <f aca="false">$B$8</f>
        <v>17000</v>
      </c>
      <c r="J37" s="13" t="n">
        <f aca="false">G37-H37-I37</f>
        <v>7990.31735413861</v>
      </c>
      <c r="K37" s="13" t="n">
        <f aca="false">K36+J37</f>
        <v>-106273.357226668</v>
      </c>
      <c r="L37" s="13" t="n">
        <f aca="false">MIN(J37:J51)</f>
        <v>7990.31735413861</v>
      </c>
    </row>
    <row r="38" customFormat="false" ht="15" hidden="false" customHeight="false" outlineLevel="0" collapsed="false">
      <c r="A38" s="0" t="n">
        <v>23</v>
      </c>
      <c r="B38" s="20" t="n">
        <f aca="false">IF(Inputs!B22=0,1,1/(1+EXP(-Inputs!B22*(A38-Inputs!B21))))</f>
        <v>0.999999999241744</v>
      </c>
      <c r="C38" s="31" t="n">
        <f aca="false">IF(A38-Inputs!B23&lt;1,0,$B$9*IF(Inputs!B22=0,1,1/(1+EXP(-Inputs!B22*(A38-Inputs!B23-Inputs!B21)))))</f>
        <v>1.99999999587769</v>
      </c>
      <c r="D38" s="31" t="n">
        <f aca="true">D37*(1-$B$5)+IF(A38-Inputs!B17&lt;1,0,OFFSET(C38,-Inputs!B17,0)*(1-$B$5)^Inputs!B17)</f>
        <v>30.7096042539262</v>
      </c>
      <c r="E38" s="13" t="n">
        <f aca="false">IF(D38&gt;0,F38/D38,0)</f>
        <v>1637.51525819227</v>
      </c>
      <c r="F38" s="13" t="n">
        <f aca="true">F37*(1-$B$5)*(1+$B$6)+IF(A38-Inputs!B17&lt;1,0,OFFSET(C38,-Inputs!B17,0)*(1-$B$5)^Inputs!B17)*$B$3</f>
        <v>50287.4455388505</v>
      </c>
      <c r="G38" s="13" t="n">
        <f aca="false">F38*$B$4</f>
        <v>26400.9089078965</v>
      </c>
      <c r="H38" s="13" t="n">
        <f aca="false">$B$9*B38*$B$7</f>
        <v>349.99999973461</v>
      </c>
      <c r="I38" s="13" t="n">
        <f aca="false">$B$8</f>
        <v>17000</v>
      </c>
      <c r="J38" s="13" t="n">
        <f aca="false">G38-H38-I38</f>
        <v>9050.90890816191</v>
      </c>
      <c r="K38" s="13" t="n">
        <f aca="false">K37+J38</f>
        <v>-97222.4483185061</v>
      </c>
      <c r="L38" s="13" t="n">
        <f aca="false">MIN(J38:J51)</f>
        <v>9050.90890816191</v>
      </c>
    </row>
    <row r="39" customFormat="false" ht="15" hidden="false" customHeight="false" outlineLevel="0" collapsed="false">
      <c r="A39" s="0" t="n">
        <v>24</v>
      </c>
      <c r="B39" s="20" t="n">
        <f aca="false">IF(Inputs!B22=0,1,1/(1+EXP(-Inputs!B22*(A39-Inputs!B21))))</f>
        <v>0.999999999721053</v>
      </c>
      <c r="C39" s="31" t="n">
        <f aca="false">IF(A39-Inputs!B23&lt;1,0,$B$9*IF(Inputs!B22=0,1,1/(1+EXP(-Inputs!B22*(A39-Inputs!B23-Inputs!B21)))))</f>
        <v>1.99999999848349</v>
      </c>
      <c r="D39" s="31" t="n">
        <f aca="true">D38*(1-$B$5)+IF(A39-Inputs!B17&lt;1,0,OFFSET(C39,-Inputs!B17,0)*(1-$B$5)^Inputs!B17)</f>
        <v>31.7883161247919</v>
      </c>
      <c r="E39" s="13" t="n">
        <f aca="false">IF(D39&gt;0,F39/D39,0)</f>
        <v>1644.20821118531</v>
      </c>
      <c r="F39" s="13" t="n">
        <f aca="true">F38*(1-$B$5)*(1+$B$6)+IF(A39-Inputs!B17&lt;1,0,OFFSET(C39,-Inputs!B17,0)*(1-$B$5)^Inputs!B17)*$B$3</f>
        <v>52266.6103921371</v>
      </c>
      <c r="G39" s="13" t="n">
        <f aca="false">F39*$B$4</f>
        <v>27439.970455872</v>
      </c>
      <c r="H39" s="13" t="n">
        <f aca="false">$B$9*B39*$B$7</f>
        <v>349.999999902369</v>
      </c>
      <c r="I39" s="13" t="n">
        <f aca="false">$B$8</f>
        <v>17000</v>
      </c>
      <c r="J39" s="13" t="n">
        <f aca="false">G39-H39-I39</f>
        <v>10089.9704559696</v>
      </c>
      <c r="K39" s="13" t="n">
        <f aca="false">K38+J39</f>
        <v>-87132.4778625365</v>
      </c>
      <c r="L39" s="13" t="n">
        <f aca="false">MIN(J39:J51)</f>
        <v>10089.9704559696</v>
      </c>
    </row>
    <row r="40" customFormat="false" ht="15" hidden="false" customHeight="false" outlineLevel="0" collapsed="false">
      <c r="A40" s="0" t="n">
        <v>25</v>
      </c>
      <c r="B40" s="20" t="n">
        <f aca="false">IF(Inputs!B22=0,1,1/(1+EXP(-Inputs!B22*(A40-Inputs!B21))))</f>
        <v>0.999999999897381</v>
      </c>
      <c r="C40" s="31" t="n">
        <f aca="false">IF(A40-Inputs!B23&lt;1,0,$B$9*IF(Inputs!B22=0,1,1/(1+EXP(-Inputs!B22*(A40-Inputs!B23-Inputs!B21)))))</f>
        <v>1.99999999944211</v>
      </c>
      <c r="D40" s="31" t="n">
        <f aca="true">D39*(1-$B$5)+IF(A40-Inputs!B17&lt;1,0,OFFSET(C40,-Inputs!B17,0)*(1-$B$5)^Inputs!B17)</f>
        <v>32.8346666404902</v>
      </c>
      <c r="E40" s="13" t="n">
        <f aca="false">IF(D40&gt;0,F40/D40,0)</f>
        <v>1650.86488600119</v>
      </c>
      <c r="F40" s="13" t="n">
        <f aca="true">F39*(1-$B$5)*(1+$B$6)+IF(A40-Inputs!B17&lt;1,0,OFFSET(C40,-Inputs!B17,0)*(1-$B$5)^Inputs!B17)*$B$3</f>
        <v>54205.5982003399</v>
      </c>
      <c r="G40" s="13" t="n">
        <f aca="false">F40*$B$4</f>
        <v>28457.9390551784</v>
      </c>
      <c r="H40" s="13" t="n">
        <f aca="false">$B$9*B40*$B$7</f>
        <v>349.999999964083</v>
      </c>
      <c r="I40" s="13" t="n">
        <f aca="false">$B$8</f>
        <v>17000</v>
      </c>
      <c r="J40" s="13" t="n">
        <f aca="false">G40-H40-I40</f>
        <v>11107.9390552143</v>
      </c>
      <c r="K40" s="13" t="n">
        <f aca="false">K39+J40</f>
        <v>-76024.5388073221</v>
      </c>
      <c r="L40" s="13" t="n">
        <f aca="false">MIN(J40:J51)</f>
        <v>11107.9390552143</v>
      </c>
    </row>
    <row r="41" customFormat="false" ht="15" hidden="false" customHeight="false" outlineLevel="0" collapsed="false">
      <c r="A41" s="0" t="n">
        <v>26</v>
      </c>
      <c r="B41" s="20" t="n">
        <f aca="false">IF(Inputs!B22=0,1,1/(1+EXP(-Inputs!B22*(A41-Inputs!B21))))</f>
        <v>0.999999999962249</v>
      </c>
      <c r="C41" s="31" t="n">
        <f aca="false">IF(A41-Inputs!B23&lt;1,0,$B$9*IF(Inputs!B22=0,1,1/(1+EXP(-Inputs!B22*(A41-Inputs!B23-Inputs!B21)))))</f>
        <v>1.99999999979476</v>
      </c>
      <c r="D41" s="31" t="n">
        <f aca="true">D40*(1-$B$5)+IF(A41-Inputs!B17&lt;1,0,OFFSET(C41,-Inputs!B17,0)*(1-$B$5)^Inputs!B17)</f>
        <v>33.8496266410703</v>
      </c>
      <c r="E41" s="13" t="n">
        <f aca="false">IF(D41&gt;0,F41/D41,0)</f>
        <v>1657.48429521795</v>
      </c>
      <c r="F41" s="13" t="n">
        <f aca="true">F40*(1-$B$5)*(1+$B$6)+IF(A41-Inputs!B17&lt;1,0,OFFSET(C41,-Inputs!B17,0)*(1-$B$5)^Inputs!B17)*$B$3</f>
        <v>56105.2245565651</v>
      </c>
      <c r="G41" s="13" t="n">
        <f aca="false">F41*$B$4</f>
        <v>29455.2428921967</v>
      </c>
      <c r="H41" s="13" t="n">
        <f aca="false">$B$9*B41*$B$7</f>
        <v>349.999999986787</v>
      </c>
      <c r="I41" s="13" t="n">
        <f aca="false">$B$8</f>
        <v>17000</v>
      </c>
      <c r="J41" s="13" t="n">
        <f aca="false">G41-H41-I41</f>
        <v>12105.2428922099</v>
      </c>
      <c r="K41" s="13" t="n">
        <f aca="false">K40+J41</f>
        <v>-63919.2959151122</v>
      </c>
      <c r="L41" s="13" t="n">
        <f aca="false">MIN(J41:J51)</f>
        <v>12105.2428922099</v>
      </c>
    </row>
    <row r="42" customFormat="false" ht="15" hidden="false" customHeight="false" outlineLevel="0" collapsed="false">
      <c r="A42" s="0" t="n">
        <v>27</v>
      </c>
      <c r="B42" s="20" t="n">
        <f aca="false">IF(Inputs!B22=0,1,1/(1+EXP(-Inputs!B22*(A42-Inputs!B21))))</f>
        <v>0.999999999986112</v>
      </c>
      <c r="C42" s="31" t="n">
        <f aca="false">IF(A42-Inputs!B23&lt;1,0,$B$9*IF(Inputs!B22=0,1,1/(1+EXP(-Inputs!B22*(A42-Inputs!B23-Inputs!B21)))))</f>
        <v>1.9999999999245</v>
      </c>
      <c r="D42" s="31" t="n">
        <f aca="true">D41*(1-$B$5)+IF(A42-Inputs!B17&lt;1,0,OFFSET(C42,-Inputs!B17,0)*(1-$B$5)^Inputs!B17)</f>
        <v>34.8341378417627</v>
      </c>
      <c r="E42" s="13" t="n">
        <f aca="false">IF(D42&gt;0,F42/D42,0)</f>
        <v>1664.06554286691</v>
      </c>
      <c r="F42" s="13" t="n">
        <f aca="true">F41*(1-$B$5)*(1+$B$6)+IF(A42-Inputs!B17&lt;1,0,OFFSET(C42,-Inputs!B17,0)*(1-$B$5)^Inputs!B17)*$B$3</f>
        <v>57966.2884979536</v>
      </c>
      <c r="G42" s="13" t="n">
        <f aca="false">F42*$B$4</f>
        <v>30432.3014614256</v>
      </c>
      <c r="H42" s="13" t="n">
        <f aca="false">$B$9*B42*$B$7</f>
        <v>349.999999995139</v>
      </c>
      <c r="I42" s="13" t="n">
        <f aca="false">$B$8</f>
        <v>17000</v>
      </c>
      <c r="J42" s="13" t="n">
        <f aca="false">G42-H42-I42</f>
        <v>13082.3014614305</v>
      </c>
      <c r="K42" s="13" t="n">
        <f aca="false">K41+J42</f>
        <v>-50836.9944536817</v>
      </c>
      <c r="L42" s="13" t="n">
        <f aca="false">MIN(J42:J51)</f>
        <v>13082.3014614305</v>
      </c>
    </row>
    <row r="43" customFormat="false" ht="15" hidden="false" customHeight="false" outlineLevel="0" collapsed="false">
      <c r="A43" s="0" t="n">
        <v>28</v>
      </c>
      <c r="B43" s="20" t="n">
        <f aca="false">IF(Inputs!B22=0,1,1/(1+EXP(-Inputs!B22*(A43-Inputs!B21))))</f>
        <v>0.999999999994891</v>
      </c>
      <c r="C43" s="31" t="n">
        <f aca="false">IF(A43-Inputs!B23&lt;1,0,$B$9*IF(Inputs!B22=0,1,1/(1+EXP(-Inputs!B22*(A43-Inputs!B23-Inputs!B21)))))</f>
        <v>1.99999999997222</v>
      </c>
      <c r="D43" s="31" t="n">
        <f aca="true">D42*(1-$B$5)+IF(A43-Inputs!B17&lt;1,0,OFFSET(C43,-Inputs!B17,0)*(1-$B$5)^Inputs!B17)</f>
        <v>35.789113706482</v>
      </c>
      <c r="E43" s="13" t="n">
        <f aca="false">IF(D43&gt;0,F43/D43,0)</f>
        <v>1670.60780917228</v>
      </c>
      <c r="F43" s="13" t="n">
        <f aca="true">F42*(1-$B$5)*(1+$B$6)+IF(A43-Inputs!B17&lt;1,0,OFFSET(C43,-Inputs!B17,0)*(1-$B$5)^Inputs!B17)*$B$3</f>
        <v>59789.5728414035</v>
      </c>
      <c r="G43" s="13" t="n">
        <f aca="false">F43*$B$4</f>
        <v>31389.5257417368</v>
      </c>
      <c r="H43" s="13" t="n">
        <f aca="false">$B$9*B43*$B$7</f>
        <v>349.999999998212</v>
      </c>
      <c r="I43" s="13" t="n">
        <f aca="false">$B$8</f>
        <v>17000</v>
      </c>
      <c r="J43" s="13" t="n">
        <f aca="false">G43-H43-I43</f>
        <v>14039.5257417386</v>
      </c>
      <c r="K43" s="13" t="n">
        <f aca="false">K42+J43</f>
        <v>-36797.4687119431</v>
      </c>
      <c r="L43" s="13" t="n">
        <f aca="false">MIN(J43:J51)</f>
        <v>14039.5257417386</v>
      </c>
    </row>
    <row r="44" customFormat="false" ht="15" hidden="false" customHeight="false" outlineLevel="0" collapsed="false">
      <c r="A44" s="0" t="n">
        <v>29</v>
      </c>
      <c r="B44" s="20" t="n">
        <f aca="false">IF(Inputs!B22=0,1,1/(1+EXP(-Inputs!B22*(A44-Inputs!B21))))</f>
        <v>0.99999999999812</v>
      </c>
      <c r="C44" s="31" t="n">
        <f aca="false">IF(A44-Inputs!B23&lt;1,0,$B$9*IF(Inputs!B22=0,1,1/(1+EXP(-Inputs!B22*(A44-Inputs!B23-Inputs!B21)))))</f>
        <v>1.99999999998978</v>
      </c>
      <c r="D44" s="31" t="n">
        <f aca="true">D43*(1-$B$5)+IF(A44-Inputs!B17&lt;1,0,OFFSET(C44,-Inputs!B17,0)*(1-$B$5)^Inputs!B17)</f>
        <v>36.7154402952774</v>
      </c>
      <c r="E44" s="13" t="n">
        <f aca="false">IF(D44&gt;0,F44/D44,0)</f>
        <v>1677.11033879738</v>
      </c>
      <c r="F44" s="13" t="n">
        <f aca="true">F43*(1-$B$5)*(1+$B$6)+IF(A44-Inputs!B17&lt;1,0,OFFSET(C44,-Inputs!B17,0)*(1-$B$5)^Inputs!B17)*$B$3</f>
        <v>61575.8445127076</v>
      </c>
      <c r="G44" s="13" t="n">
        <f aca="false">F44*$B$4</f>
        <v>32327.3183691715</v>
      </c>
      <c r="H44" s="13" t="n">
        <f aca="false">$B$9*B44*$B$7</f>
        <v>349.999999999342</v>
      </c>
      <c r="I44" s="13" t="n">
        <f aca="false">$B$8</f>
        <v>17000</v>
      </c>
      <c r="J44" s="13" t="n">
        <f aca="false">G44-H44-I44</f>
        <v>14977.3183691722</v>
      </c>
      <c r="K44" s="13" t="n">
        <f aca="false">K43+J44</f>
        <v>-21820.150342771</v>
      </c>
      <c r="L44" s="13" t="n">
        <f aca="false">MIN(J44:J51)</f>
        <v>14977.3183691722</v>
      </c>
    </row>
    <row r="45" customFormat="false" ht="15" hidden="false" customHeight="false" outlineLevel="0" collapsed="false">
      <c r="A45" s="0" t="n">
        <v>30</v>
      </c>
      <c r="B45" s="20" t="n">
        <f aca="false">IF(Inputs!B22=0,1,1/(1+EXP(-Inputs!B22*(A45-Inputs!B21))))</f>
        <v>0.999999999999309</v>
      </c>
      <c r="C45" s="31" t="n">
        <f aca="false">IF(A45-Inputs!B23&lt;1,0,$B$9*IF(Inputs!B22=0,1,1/(1+EXP(-Inputs!B22*(A45-Inputs!B23-Inputs!B21)))))</f>
        <v>1.99999999999624</v>
      </c>
      <c r="D45" s="31" t="n">
        <f aca="true">D44*(1-$B$5)+IF(A45-Inputs!B17&lt;1,0,OFFSET(C45,-Inputs!B17,0)*(1-$B$5)^Inputs!B17)</f>
        <v>37.6139770864153</v>
      </c>
      <c r="E45" s="13" t="n">
        <f aca="false">IF(D45&gt;0,F45/D45,0)</f>
        <v>1683.57243169494</v>
      </c>
      <c r="F45" s="13" t="n">
        <f aca="true">F44*(1-$B$5)*(1+$B$6)+IF(A45-Inputs!B17&lt;1,0,OFFSET(C45,-Inputs!B17,0)*(1-$B$5)^Inputs!B17)*$B$3</f>
        <v>63325.854869094</v>
      </c>
      <c r="G45" s="13" t="n">
        <f aca="false">F45*$B$4</f>
        <v>33246.0738062744</v>
      </c>
      <c r="H45" s="13" t="n">
        <f aca="false">$B$9*B45*$B$7</f>
        <v>349.999999999758</v>
      </c>
      <c r="I45" s="13" t="n">
        <f aca="false">$B$8</f>
        <v>17000</v>
      </c>
      <c r="J45" s="13" t="n">
        <f aca="false">G45-H45-I45</f>
        <v>15896.0738062746</v>
      </c>
      <c r="K45" s="13" t="n">
        <f aca="false">K44+J45</f>
        <v>-5924.07653649636</v>
      </c>
      <c r="L45" s="13" t="n">
        <f aca="false">MIN(J45:J51)</f>
        <v>15896.0738062746</v>
      </c>
    </row>
    <row r="46" customFormat="false" ht="15" hidden="false" customHeight="false" outlineLevel="0" collapsed="false">
      <c r="A46" s="0" t="n">
        <v>31</v>
      </c>
      <c r="B46" s="20" t="n">
        <f aca="false">IF(Inputs!B22=0,1,1/(1+EXP(-Inputs!B22*(A46-Inputs!B21))))</f>
        <v>0.999999999999746</v>
      </c>
      <c r="C46" s="31" t="n">
        <f aca="false">IF(A46-Inputs!B23&lt;1,0,$B$9*IF(Inputs!B22=0,1,1/(1+EXP(-Inputs!B22*(A46-Inputs!B23-Inputs!B21)))))</f>
        <v>1.99999999999862</v>
      </c>
      <c r="D46" s="31" t="n">
        <f aca="true">D45*(1-$B$5)+IF(A46-Inputs!B17&lt;1,0,OFFSET(C46,-Inputs!B17,0)*(1-$B$5)^Inputs!B17)</f>
        <v>38.4855577738214</v>
      </c>
      <c r="E46" s="13" t="n">
        <f aca="false">IF(D46&gt;0,F46/D46,0)</f>
        <v>1689.99343591406</v>
      </c>
      <c r="F46" s="13" t="n">
        <f aca="true">F45*(1-$B$5)*(1+$B$6)+IF(A46-Inputs!B17&lt;1,0,OFFSET(C46,-Inputs!B17,0)*(1-$B$5)^Inputs!B17)*$B$3</f>
        <v>65040.3400152494</v>
      </c>
      <c r="G46" s="13" t="n">
        <f aca="false">F46*$B$4</f>
        <v>34146.1785080059</v>
      </c>
      <c r="H46" s="13" t="n">
        <f aca="false">$B$9*B46*$B$7</f>
        <v>349.999999999911</v>
      </c>
      <c r="I46" s="13" t="n">
        <f aca="false">$B$8</f>
        <v>17000</v>
      </c>
      <c r="J46" s="13" t="n">
        <f aca="false">G46-H46-I46</f>
        <v>16796.178508006</v>
      </c>
      <c r="K46" s="13" t="n">
        <f aca="false">K45+J46</f>
        <v>10872.1019715096</v>
      </c>
      <c r="L46" s="13" t="n">
        <f aca="false">MIN(J46:J51)</f>
        <v>16796.178508006</v>
      </c>
    </row>
    <row r="47" customFormat="false" ht="15" hidden="false" customHeight="false" outlineLevel="0" collapsed="false">
      <c r="A47" s="0" t="n">
        <v>32</v>
      </c>
      <c r="B47" s="20" t="n">
        <f aca="false">IF(Inputs!B22=0,1,1/(1+EXP(-Inputs!B22*(A47-Inputs!B21))))</f>
        <v>0.999999999999907</v>
      </c>
      <c r="C47" s="31" t="n">
        <f aca="false">IF(A47-Inputs!B23&lt;1,0,$B$9*IF(Inputs!B22=0,1,1/(1+EXP(-Inputs!B22*(A47-Inputs!B23-Inputs!B21)))))</f>
        <v>1.99999999999949</v>
      </c>
      <c r="D47" s="31" t="n">
        <f aca="true">D46*(1-$B$5)+IF(A47-Inputs!B17&lt;1,0,OFFSET(C47,-Inputs!B17,0)*(1-$B$5)^Inputs!B17)</f>
        <v>39.3309910406063</v>
      </c>
      <c r="E47" s="13" t="n">
        <f aca="false">IF(D47&gt;0,F47/D47,0)</f>
        <v>1696.37274189343</v>
      </c>
      <c r="F47" s="13" t="n">
        <f aca="true">F46*(1-$B$5)*(1+$B$6)+IF(A47-Inputs!B17&lt;1,0,OFFSET(C47,-Inputs!B17,0)*(1-$B$5)^Inputs!B17)*$B$3</f>
        <v>66720.021112939</v>
      </c>
      <c r="G47" s="13" t="n">
        <f aca="false">F47*$B$4</f>
        <v>35028.011084293</v>
      </c>
      <c r="H47" s="13" t="n">
        <f aca="false">$B$9*B47*$B$7</f>
        <v>349.999999999967</v>
      </c>
      <c r="I47" s="13" t="n">
        <f aca="false">$B$8</f>
        <v>17000</v>
      </c>
      <c r="J47" s="13" t="n">
        <f aca="false">G47-H47-I47</f>
        <v>17678.011084293</v>
      </c>
      <c r="K47" s="13" t="n">
        <f aca="false">K46+J47</f>
        <v>28550.1130558027</v>
      </c>
      <c r="L47" s="13" t="n">
        <f aca="false">MIN(J47:J51)</f>
        <v>17678.011084293</v>
      </c>
    </row>
    <row r="48" customFormat="false" ht="15" hidden="false" customHeight="false" outlineLevel="0" collapsed="false">
      <c r="A48" s="0" t="n">
        <v>33</v>
      </c>
      <c r="B48" s="20" t="n">
        <f aca="false">IF(Inputs!B22=0,1,1/(1+EXP(-Inputs!B22*(A48-Inputs!B21))))</f>
        <v>0.999999999999966</v>
      </c>
      <c r="C48" s="31" t="n">
        <f aca="false">IF(A48-Inputs!B23&lt;1,0,$B$9*IF(Inputs!B22=0,1,1/(1+EXP(-Inputs!B22*(A48-Inputs!B23-Inputs!B21)))))</f>
        <v>1.99999999999981</v>
      </c>
      <c r="D48" s="31" t="n">
        <f aca="true">D47*(1-$B$5)+IF(A48-Inputs!B17&lt;1,0,OFFSET(C48,-Inputs!B17,0)*(1-$B$5)^Inputs!B17)</f>
        <v>40.1510613093879</v>
      </c>
      <c r="E48" s="13" t="n">
        <f aca="false">IF(D48&gt;0,F48/D48,0)</f>
        <v>1702.70977789474</v>
      </c>
      <c r="F48" s="13" t="n">
        <f aca="true">F47*(1-$B$5)*(1+$B$6)+IF(A48-Inputs!B17&lt;1,0,OFFSET(C48,-Inputs!B17,0)*(1-$B$5)^Inputs!B17)*$B$3</f>
        <v>68365.6046843461</v>
      </c>
      <c r="G48" s="13" t="n">
        <f aca="false">F48*$B$4</f>
        <v>35891.9424592817</v>
      </c>
      <c r="H48" s="13" t="n">
        <f aca="false">$B$9*B48*$B$7</f>
        <v>349.999999999988</v>
      </c>
      <c r="I48" s="13" t="n">
        <f aca="false">$B$8</f>
        <v>17000</v>
      </c>
      <c r="J48" s="13" t="n">
        <f aca="false">G48-H48-I48</f>
        <v>18541.9424592817</v>
      </c>
      <c r="K48" s="13" t="n">
        <f aca="false">K47+J48</f>
        <v>47092.0555150844</v>
      </c>
      <c r="L48" s="13" t="n">
        <f aca="false">MIN(J48:J51)</f>
        <v>18541.9424592817</v>
      </c>
    </row>
    <row r="49" customFormat="false" ht="15" hidden="false" customHeight="false" outlineLevel="0" collapsed="false">
      <c r="A49" s="0" t="n">
        <v>34</v>
      </c>
      <c r="B49" s="20" t="n">
        <f aca="false">IF(Inputs!B22=0,1,1/(1+EXP(-Inputs!B22*(A49-Inputs!B21))))</f>
        <v>0.999999999999987</v>
      </c>
      <c r="C49" s="31" t="n">
        <f aca="false">IF(A49-Inputs!B23&lt;1,0,$B$9*IF(Inputs!B22=0,1,1/(1+EXP(-Inputs!B22*(A49-Inputs!B23-Inputs!B21)))))</f>
        <v>1.99999999999993</v>
      </c>
      <c r="D49" s="31" t="n">
        <f aca="true">D48*(1-$B$5)+IF(A49-Inputs!B17&lt;1,0,OFFSET(C49,-Inputs!B17,0)*(1-$B$5)^Inputs!B17)</f>
        <v>40.9465294701062</v>
      </c>
      <c r="E49" s="13" t="n">
        <f aca="false">IF(D49&gt;0,F49/D49,0)</f>
        <v>1709.00400631859</v>
      </c>
      <c r="F49" s="13" t="n">
        <f aca="true">F48*(1-$B$5)*(1+$B$6)+IF(A49-Inputs!B17&lt;1,0,OFFSET(C49,-Inputs!B17,0)*(1-$B$5)^Inputs!B17)*$B$3</f>
        <v>69977.7829092537</v>
      </c>
      <c r="G49" s="13" t="n">
        <f aca="false">F49*$B$4</f>
        <v>36738.3360273582</v>
      </c>
      <c r="H49" s="13" t="n">
        <f aca="false">$B$9*B49*$B$7</f>
        <v>349.999999999996</v>
      </c>
      <c r="I49" s="13" t="n">
        <f aca="false">$B$8</f>
        <v>17000</v>
      </c>
      <c r="J49" s="13" t="n">
        <f aca="false">G49-H49-I49</f>
        <v>19388.3360273582</v>
      </c>
      <c r="K49" s="13" t="n">
        <f aca="false">K48+J49</f>
        <v>66480.3915424426</v>
      </c>
      <c r="L49" s="13" t="n">
        <f aca="false">MIN(J49:J51)</f>
        <v>19388.3360273582</v>
      </c>
    </row>
    <row r="50" customFormat="false" ht="15" hidden="false" customHeight="false" outlineLevel="0" collapsed="false">
      <c r="A50" s="0" t="n">
        <v>35</v>
      </c>
      <c r="B50" s="20" t="n">
        <f aca="false">IF(Inputs!B22=0,1,1/(1+EXP(-Inputs!B22*(A50-Inputs!B21))))</f>
        <v>0.999999999999995</v>
      </c>
      <c r="C50" s="31" t="n">
        <f aca="false">IF(A50-Inputs!B23&lt;1,0,$B$9*IF(Inputs!B22=0,1,1/(1+EXP(-Inputs!B22*(A50-Inputs!B23-Inputs!B21)))))</f>
        <v>1.99999999999997</v>
      </c>
      <c r="D50" s="31" t="n">
        <f aca="true">D49*(1-$B$5)+IF(A50-Inputs!B17&lt;1,0,OFFSET(C50,-Inputs!B17,0)*(1-$B$5)^Inputs!B17)</f>
        <v>41.718133586003</v>
      </c>
      <c r="E50" s="13" t="n">
        <f aca="false">IF(D50&gt;0,F50/D50,0)</f>
        <v>1715.25492070921</v>
      </c>
      <c r="F50" s="13" t="n">
        <f aca="true">F49*(1-$B$5)*(1+$B$6)+IF(A50-Inputs!B17&lt;1,0,OFFSET(C50,-Inputs!B17,0)*(1-$B$5)^Inputs!B17)*$B$3</f>
        <v>71557.2339161958</v>
      </c>
      <c r="G50" s="13" t="n">
        <f aca="false">F50*$B$4</f>
        <v>37567.5478060028</v>
      </c>
      <c r="H50" s="13" t="n">
        <f aca="false">$B$9*B50*$B$7</f>
        <v>349.999999999998</v>
      </c>
      <c r="I50" s="13" t="n">
        <f aca="false">$B$8</f>
        <v>17000</v>
      </c>
      <c r="J50" s="13" t="n">
        <f aca="false">G50-H50-I50</f>
        <v>20217.5478060028</v>
      </c>
      <c r="K50" s="13" t="n">
        <f aca="false">K49+J50</f>
        <v>86697.9393484454</v>
      </c>
      <c r="L50" s="13" t="n">
        <f aca="false">MIN(J50:J51)</f>
        <v>20217.5478060028</v>
      </c>
    </row>
    <row r="51" customFormat="false" ht="15" hidden="false" customHeight="false" outlineLevel="0" collapsed="false">
      <c r="A51" s="0" t="n">
        <v>36</v>
      </c>
      <c r="B51" s="20" t="n">
        <f aca="false">IF(Inputs!B22=0,1,1/(1+EXP(-Inputs!B22*(A51-Inputs!B21))))</f>
        <v>0.999999999999998</v>
      </c>
      <c r="C51" s="31" t="n">
        <f aca="false">IF(A51-Inputs!B23&lt;1,0,$B$9*IF(Inputs!B22=0,1,1/(1+EXP(-Inputs!B22*(A51-Inputs!B23-Inputs!B21)))))</f>
        <v>1.99999999999999</v>
      </c>
      <c r="D51" s="31" t="n">
        <f aca="true">D50*(1-$B$5)+IF(A51-Inputs!B17&lt;1,0,OFFSET(C51,-Inputs!B17,0)*(1-$B$5)^Inputs!B17)</f>
        <v>42.4665895784229</v>
      </c>
      <c r="E51" s="13" t="n">
        <f aca="false">IF(D51&gt;0,F51/D51,0)</f>
        <v>1721.46204330101</v>
      </c>
      <c r="F51" s="13" t="n">
        <f aca="true">F50*(1-$B$5)*(1+$B$6)+IF(A51-Inputs!B17&lt;1,0,OFFSET(C51,-Inputs!B17,0)*(1-$B$5)^Inputs!B17)*$B$3</f>
        <v>73104.622067697</v>
      </c>
      <c r="G51" s="13" t="n">
        <f aca="false">F51*$B$4</f>
        <v>38379.926585541</v>
      </c>
      <c r="H51" s="13" t="n">
        <f aca="false">$B$9*B51*$B$7</f>
        <v>349.999999999999</v>
      </c>
      <c r="I51" s="13" t="n">
        <f aca="false">$B$8</f>
        <v>17000</v>
      </c>
      <c r="J51" s="13" t="n">
        <f aca="false">G51-H51-I51</f>
        <v>21029.9265855409</v>
      </c>
      <c r="K51" s="13" t="n">
        <f aca="false">K50+J51</f>
        <v>107727.865933986</v>
      </c>
      <c r="L51" s="13" t="n">
        <f aca="false">MIN(J51)</f>
        <v>21029.9265855409</v>
      </c>
    </row>
    <row r="53" customFormat="false" ht="15" hidden="false" customHeight="false" outlineLevel="0" collapsed="false">
      <c r="A53" s="12" t="s">
        <v>107</v>
      </c>
      <c r="B53" s="0" t="n">
        <f aca="false">IFERROR(INDEX(A16:A51,MATCH(TRUE(),INDEX(L16:L51&gt;=0,0),0)),"none")</f>
        <v>16</v>
      </c>
    </row>
    <row r="54" customFormat="false" ht="15" hidden="false" customHeight="false" outlineLevel="0" collapsed="false">
      <c r="A54" s="12" t="s">
        <v>19</v>
      </c>
      <c r="B54" s="13" t="n">
        <f aca="false">MAX(0,Inputs!B16,-MIN(K16:K51))</f>
        <v>138670.087829196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5"/>
  </cols>
  <sheetData>
    <row r="1" customFormat="false" ht="17.35" hidden="false" customHeight="false" outlineLevel="0" collapsed="false">
      <c r="A1" s="1" t="s">
        <v>108</v>
      </c>
    </row>
    <row r="3" customFormat="false" ht="15" hidden="false" customHeight="false" outlineLevel="0" collapsed="false">
      <c r="A3" s="15" t="s">
        <v>90</v>
      </c>
      <c r="B3" s="7" t="n">
        <f aca="false">Inputs!C5</f>
        <v>2775</v>
      </c>
    </row>
    <row r="4" customFormat="false" ht="15" hidden="false" customHeight="false" outlineLevel="0" collapsed="false">
      <c r="A4" s="15" t="s">
        <v>17</v>
      </c>
      <c r="B4" s="10" t="n">
        <f aca="false">Inputs!C6</f>
        <v>0.525</v>
      </c>
    </row>
    <row r="5" customFormat="false" ht="15" hidden="false" customHeight="false" outlineLevel="0" collapsed="false">
      <c r="A5" s="15" t="s">
        <v>62</v>
      </c>
      <c r="B5" s="10" t="n">
        <f aca="false">Inputs!C7</f>
        <v>0.03</v>
      </c>
    </row>
    <row r="6" customFormat="false" ht="15" hidden="false" customHeight="false" outlineLevel="0" collapsed="false">
      <c r="A6" s="15" t="s">
        <v>91</v>
      </c>
      <c r="B6" s="10" t="n">
        <f aca="false">Inputs!C8</f>
        <v>0.01</v>
      </c>
    </row>
    <row r="7" customFormat="false" ht="15" hidden="false" customHeight="false" outlineLevel="0" collapsed="false">
      <c r="A7" s="15" t="s">
        <v>13</v>
      </c>
      <c r="B7" s="7" t="n">
        <f aca="false">Inputs!C11</f>
        <v>175</v>
      </c>
    </row>
    <row r="8" customFormat="false" ht="15" hidden="false" customHeight="false" outlineLevel="0" collapsed="false">
      <c r="A8" s="15" t="s">
        <v>92</v>
      </c>
      <c r="B8" s="7" t="n">
        <f aca="false">Inputs!B14*Inputs!C10+Inputs!B15</f>
        <v>17000</v>
      </c>
    </row>
    <row r="9" customFormat="false" ht="15" hidden="false" customHeight="false" outlineLevel="0" collapsed="false">
      <c r="A9" s="15" t="s">
        <v>93</v>
      </c>
      <c r="B9" s="27" t="n">
        <f aca="false">Inputs!C9</f>
        <v>2</v>
      </c>
    </row>
    <row r="10" customFormat="false" ht="15" hidden="false" customHeight="false" outlineLevel="0" collapsed="false">
      <c r="A10" s="15" t="s">
        <v>94</v>
      </c>
      <c r="B10" s="28" t="n">
        <f aca="false">B3*B4*(1-B5)^Inputs!B17*IF(ABS(1-(1-B5)*(1+B6))&lt;0.000001,MAX(0,60-Inputs!B17),(1-((1-B5)*(1+B6))^MAX(0,60-Inputs!B17))/(1-(1-B5)*(1+B6)))</f>
        <v>50801.3787518773</v>
      </c>
    </row>
    <row r="11" customFormat="false" ht="15" hidden="false" customHeight="false" outlineLevel="0" collapsed="false">
      <c r="A11" s="15" t="s">
        <v>15</v>
      </c>
      <c r="B11" s="29" t="n">
        <f aca="false">IF(B7&gt;0,B10/B7,"n/a")</f>
        <v>290.29359286787</v>
      </c>
    </row>
    <row r="12" customFormat="false" ht="15" hidden="false" customHeight="false" outlineLevel="0" collapsed="false">
      <c r="A12" s="15" t="s">
        <v>95</v>
      </c>
      <c r="B12" s="30" t="n">
        <f aca="false">IF(B3*B4&lt;=0,"none",IF(B7&lt;=0,1+Inputs!B17,IF((1-B5)*(1+B6)&lt;=0,IF(B7&lt;=B3*B4*(1-B5)^Inputs!B17,1+Inputs!B17,"none"),IF(ABS(1-(1-B5)*(1+B6))&lt;0.000001,IF(B7/(B3*B4*(1-B5)^Inputs!B17)&lt;=60-Inputs!B17,ROUNDUP(B7/(B3*B4*(1-B5)^Inputs!B17),0)+Inputs!B17,"none"),IF(1-B7*(1-(1-B5)*(1+B6))/(B3*B4*(1-B5)^Inputs!B17)&lt;=0,"none",IF(ROUNDUP(LN(1-B7*(1-(1-B5)*(1+B6))/(B3*B4*(1-B5)^Inputs!B17))/LN((1-B5)*(1+B6)),0)&lt;=60-Inputs!B17,ROUNDUP(LN(1-B7*(1-(1-B5)*(1+B6))/(B3*B4*(1-B5)^Inputs!B17))/LN((1-B5)*(1+B6)),0)+Inputs!B17,"none"))))))</f>
        <v>1</v>
      </c>
    </row>
    <row r="15" customFormat="false" ht="15" hidden="false" customHeight="false" outlineLevel="0" collapsed="false">
      <c r="A15" s="6" t="s">
        <v>24</v>
      </c>
      <c r="B15" s="6" t="s">
        <v>96</v>
      </c>
      <c r="C15" s="6" t="s">
        <v>97</v>
      </c>
      <c r="D15" s="6" t="s">
        <v>98</v>
      </c>
      <c r="E15" s="6" t="s">
        <v>99</v>
      </c>
      <c r="F15" s="6" t="s">
        <v>100</v>
      </c>
      <c r="G15" s="6" t="s">
        <v>101</v>
      </c>
      <c r="H15" s="6" t="s">
        <v>102</v>
      </c>
      <c r="I15" s="6" t="s">
        <v>103</v>
      </c>
      <c r="J15" s="6" t="s">
        <v>104</v>
      </c>
      <c r="K15" s="6" t="s">
        <v>105</v>
      </c>
      <c r="L15" s="6" t="s">
        <v>106</v>
      </c>
    </row>
    <row r="16" customFormat="false" ht="15" hidden="false" customHeight="false" outlineLevel="0" collapsed="false">
      <c r="A16" s="0" t="n">
        <v>1</v>
      </c>
      <c r="B16" s="20" t="n">
        <f aca="false">IF(Inputs!B22=0,1,1/(1+EXP(-Inputs!B22*(A16-Inputs!B21))))</f>
        <v>0.268941421369995</v>
      </c>
      <c r="C16" s="31" t="n">
        <f aca="false">IF(A16-Inputs!B23&lt;1,0,$B$9*IF(Inputs!B22=0,1,1/(1+EXP(-Inputs!B22*(A16-Inputs!B23-Inputs!B21)))))</f>
        <v>0</v>
      </c>
      <c r="D16" s="31" t="n">
        <f aca="true">Inputs!B19*(1-$B$5)+IF(A16-Inputs!B17&lt;1,0,OFFSET(C16,-Inputs!B17,0)*(1-$B$5)^Inputs!B17)</f>
        <v>0</v>
      </c>
      <c r="E16" s="13" t="n">
        <f aca="false">IF(D16&gt;0,F16/D16,0)</f>
        <v>0</v>
      </c>
      <c r="F16" s="13" t="n">
        <f aca="true">Inputs!B20*(1-$B$5)*(1+$B$6)+IF(A16-Inputs!B17&lt;1,0,OFFSET(C16,-Inputs!B17,0)*(1-$B$5)^Inputs!B17)*$B$3</f>
        <v>0</v>
      </c>
      <c r="G16" s="13" t="n">
        <f aca="false">F16*$B$4</f>
        <v>0</v>
      </c>
      <c r="H16" s="13" t="n">
        <f aca="false">$B$9*B16*$B$7</f>
        <v>94.1294974794983</v>
      </c>
      <c r="I16" s="13" t="n">
        <f aca="false">$B$8</f>
        <v>17000</v>
      </c>
      <c r="J16" s="13" t="n">
        <f aca="false">G16-H16-I16</f>
        <v>-17094.1294974795</v>
      </c>
      <c r="K16" s="13" t="n">
        <f aca="false">J16-Inputs!B16</f>
        <v>-17094.1294974795</v>
      </c>
      <c r="L16" s="13" t="n">
        <f aca="false">MIN(J16:J51)</f>
        <v>-17094.1294974795</v>
      </c>
    </row>
    <row r="17" customFormat="false" ht="15" hidden="false" customHeight="false" outlineLevel="0" collapsed="false">
      <c r="A17" s="0" t="n">
        <v>2</v>
      </c>
      <c r="B17" s="20" t="n">
        <f aca="false">IF(Inputs!B22=0,1,1/(1+EXP(-Inputs!B22*(A17-Inputs!B21))))</f>
        <v>0.5</v>
      </c>
      <c r="C17" s="31" t="n">
        <f aca="false">IF(A17-Inputs!B23&lt;1,0,$B$9*IF(Inputs!B22=0,1,1/(1+EXP(-Inputs!B22*(A17-Inputs!B23-Inputs!B21)))))</f>
        <v>0.53788284273999</v>
      </c>
      <c r="D17" s="31" t="n">
        <f aca="true">D16*(1-$B$5)+IF(A17-Inputs!B17&lt;1,0,OFFSET(C17,-Inputs!B17,0)*(1-$B$5)^Inputs!B17)</f>
        <v>0.53788284273999</v>
      </c>
      <c r="E17" s="13" t="n">
        <f aca="false">IF(D17&gt;0,F17/D17,0)</f>
        <v>2775</v>
      </c>
      <c r="F17" s="13" t="n">
        <f aca="true">F16*(1-$B$5)*(1+$B$6)+IF(A17-Inputs!B17&lt;1,0,OFFSET(C17,-Inputs!B17,0)*(1-$B$5)^Inputs!B17)*$B$3</f>
        <v>1492.62488860347</v>
      </c>
      <c r="G17" s="13" t="n">
        <f aca="false">F17*$B$4</f>
        <v>783.628066516823</v>
      </c>
      <c r="H17" s="13" t="n">
        <f aca="false">$B$9*B17*$B$7</f>
        <v>175</v>
      </c>
      <c r="I17" s="13" t="n">
        <f aca="false">$B$8</f>
        <v>17000</v>
      </c>
      <c r="J17" s="13" t="n">
        <f aca="false">G17-H17-I17</f>
        <v>-16391.3719334832</v>
      </c>
      <c r="K17" s="13" t="n">
        <f aca="false">K16+J17</f>
        <v>-33485.5014309627</v>
      </c>
      <c r="L17" s="13" t="n">
        <f aca="false">MIN(J17:J51)</f>
        <v>-16391.3719334832</v>
      </c>
    </row>
    <row r="18" customFormat="false" ht="15" hidden="false" customHeight="false" outlineLevel="0" collapsed="false">
      <c r="A18" s="0" t="n">
        <v>3</v>
      </c>
      <c r="B18" s="20" t="n">
        <f aca="false">IF(Inputs!B22=0,1,1/(1+EXP(-Inputs!B22*(A18-Inputs!B21))))</f>
        <v>0.731058578630005</v>
      </c>
      <c r="C18" s="31" t="n">
        <f aca="false">IF(A18-Inputs!B23&lt;1,0,$B$9*IF(Inputs!B22=0,1,1/(1+EXP(-Inputs!B22*(A18-Inputs!B23-Inputs!B21)))))</f>
        <v>1</v>
      </c>
      <c r="D18" s="31" t="n">
        <f aca="true">D17*(1-$B$5)+IF(A18-Inputs!B17&lt;1,0,OFFSET(C18,-Inputs!B17,0)*(1-$B$5)^Inputs!B17)</f>
        <v>1.52174635745779</v>
      </c>
      <c r="E18" s="13" t="n">
        <f aca="false">IF(D18&gt;0,F18/D18,0)</f>
        <v>2784.51437231868</v>
      </c>
      <c r="F18" s="13" t="n">
        <f aca="true">F17*(1-$B$5)*(1+$B$6)+IF(A18-Inputs!B17&lt;1,0,OFFSET(C18,-Inputs!B17,0)*(1-$B$5)^Inputs!B17)*$B$3</f>
        <v>4237.32460336482</v>
      </c>
      <c r="G18" s="13" t="n">
        <f aca="false">F18*$B$4</f>
        <v>2224.59541676653</v>
      </c>
      <c r="H18" s="13" t="n">
        <f aca="false">$B$9*B18*$B$7</f>
        <v>255.870502520502</v>
      </c>
      <c r="I18" s="13" t="n">
        <f aca="false">$B$8</f>
        <v>17000</v>
      </c>
      <c r="J18" s="13" t="n">
        <f aca="false">G18-H18-I18</f>
        <v>-15031.275085754</v>
      </c>
      <c r="K18" s="13" t="n">
        <f aca="false">K17+J18</f>
        <v>-48516.7765167166</v>
      </c>
      <c r="L18" s="13" t="n">
        <f aca="false">MIN(J18:J51)</f>
        <v>-15031.275085754</v>
      </c>
    </row>
    <row r="19" customFormat="false" ht="15" hidden="false" customHeight="false" outlineLevel="0" collapsed="false">
      <c r="A19" s="0" t="n">
        <v>4</v>
      </c>
      <c r="B19" s="20" t="n">
        <f aca="false">IF(Inputs!B22=0,1,1/(1+EXP(-Inputs!B22*(A19-Inputs!B21))))</f>
        <v>0.880797077977882</v>
      </c>
      <c r="C19" s="31" t="n">
        <f aca="false">IF(A19-Inputs!B23&lt;1,0,$B$9*IF(Inputs!B22=0,1,1/(1+EXP(-Inputs!B22*(A19-Inputs!B23-Inputs!B21)))))</f>
        <v>1.46211715726001</v>
      </c>
      <c r="D19" s="31" t="n">
        <f aca="true">D18*(1-$B$5)+IF(A19-Inputs!B17&lt;1,0,OFFSET(C19,-Inputs!B17,0)*(1-$B$5)^Inputs!B17)</f>
        <v>2.93821112399407</v>
      </c>
      <c r="E19" s="13" t="n">
        <f aca="false">IF(D19&gt;0,F19/D19,0)</f>
        <v>2793.76861597153</v>
      </c>
      <c r="F19" s="13" t="n">
        <f aca="true">F18*(1-$B$5)*(1+$B$6)+IF(A19-Inputs!B17&lt;1,0,OFFSET(C19,-Inputs!B17,0)*(1-$B$5)^Inputs!B17)*$B$3</f>
        <v>8208.68202531304</v>
      </c>
      <c r="G19" s="13" t="n">
        <f aca="false">F19*$B$4</f>
        <v>4309.55806328935</v>
      </c>
      <c r="H19" s="13" t="n">
        <f aca="false">$B$9*B19*$B$7</f>
        <v>308.278977292259</v>
      </c>
      <c r="I19" s="13" t="n">
        <f aca="false">$B$8</f>
        <v>17000</v>
      </c>
      <c r="J19" s="13" t="n">
        <f aca="false">G19-H19-I19</f>
        <v>-12998.7209140029</v>
      </c>
      <c r="K19" s="13" t="n">
        <f aca="false">K18+J19</f>
        <v>-61515.4974307196</v>
      </c>
      <c r="L19" s="13" t="n">
        <f aca="false">MIN(J19:J51)</f>
        <v>-12998.7209140029</v>
      </c>
    </row>
    <row r="20" customFormat="false" ht="15" hidden="false" customHeight="false" outlineLevel="0" collapsed="false">
      <c r="A20" s="0" t="n">
        <v>5</v>
      </c>
      <c r="B20" s="20" t="n">
        <f aca="false">IF(Inputs!B22=0,1,1/(1+EXP(-Inputs!B22*(A20-Inputs!B21))))</f>
        <v>0.952574126822433</v>
      </c>
      <c r="C20" s="31" t="n">
        <f aca="false">IF(A20-Inputs!B23&lt;1,0,$B$9*IF(Inputs!B22=0,1,1/(1+EXP(-Inputs!B22*(A20-Inputs!B23-Inputs!B21)))))</f>
        <v>1.76159415595576</v>
      </c>
      <c r="D20" s="31" t="n">
        <f aca="true">D19*(1-$B$5)+IF(A20-Inputs!B17&lt;1,0,OFFSET(C20,-Inputs!B17,0)*(1-$B$5)^Inputs!B17)</f>
        <v>4.61165894623001</v>
      </c>
      <c r="E20" s="13" t="n">
        <f aca="false">IF(D20&gt;0,F20/D20,0)</f>
        <v>2803.86509794853</v>
      </c>
      <c r="F20" s="13" t="n">
        <f aca="true">F19*(1-$B$5)*(1+$B$6)+IF(A20-Inputs!B17&lt;1,0,OFFSET(C20,-Inputs!B17,0)*(1-$B$5)^Inputs!B17)*$B$3</f>
        <v>12930.4695629764</v>
      </c>
      <c r="G20" s="13" t="n">
        <f aca="false">F20*$B$4</f>
        <v>6788.49652056263</v>
      </c>
      <c r="H20" s="13" t="n">
        <f aca="false">$B$9*B20*$B$7</f>
        <v>333.400944387852</v>
      </c>
      <c r="I20" s="13" t="n">
        <f aca="false">$B$8</f>
        <v>17000</v>
      </c>
      <c r="J20" s="13" t="n">
        <f aca="false">G20-H20-I20</f>
        <v>-10544.9044238252</v>
      </c>
      <c r="K20" s="13" t="n">
        <f aca="false">K19+J20</f>
        <v>-72060.4018545448</v>
      </c>
      <c r="L20" s="13" t="n">
        <f aca="false">MIN(J20:J51)</f>
        <v>-10544.9044238252</v>
      </c>
    </row>
    <row r="21" customFormat="false" ht="15" hidden="false" customHeight="false" outlineLevel="0" collapsed="false">
      <c r="A21" s="0" t="n">
        <v>6</v>
      </c>
      <c r="B21" s="20" t="n">
        <f aca="false">IF(Inputs!B22=0,1,1/(1+EXP(-Inputs!B22*(A21-Inputs!B21))))</f>
        <v>0.982013790037909</v>
      </c>
      <c r="C21" s="31" t="n">
        <f aca="false">IF(A21-Inputs!B23&lt;1,0,$B$9*IF(Inputs!B22=0,1,1/(1+EXP(-Inputs!B22*(A21-Inputs!B23-Inputs!B21)))))</f>
        <v>1.90514825364487</v>
      </c>
      <c r="D21" s="31" t="n">
        <f aca="true">D20*(1-$B$5)+IF(A21-Inputs!B17&lt;1,0,OFFSET(C21,-Inputs!B17,0)*(1-$B$5)^Inputs!B17)</f>
        <v>6.37845743148798</v>
      </c>
      <c r="E21" s="13" t="n">
        <f aca="false">IF(D21&gt;0,F21/D21,0)</f>
        <v>2814.90746431524</v>
      </c>
      <c r="F21" s="13" t="n">
        <f aca="true">F20*(1-$B$5)*(1+$B$6)+IF(A21-Inputs!B17&lt;1,0,OFFSET(C21,-Inputs!B17,0)*(1-$B$5)^Inputs!B17)*$B$3</f>
        <v>17954.7674347125</v>
      </c>
      <c r="G21" s="13" t="n">
        <f aca="false">F21*$B$4</f>
        <v>9426.25290322407</v>
      </c>
      <c r="H21" s="13" t="n">
        <f aca="false">$B$9*B21*$B$7</f>
        <v>343.704826513268</v>
      </c>
      <c r="I21" s="13" t="n">
        <f aca="false">$B$8</f>
        <v>17000</v>
      </c>
      <c r="J21" s="13" t="n">
        <f aca="false">G21-H21-I21</f>
        <v>-7917.45192328919</v>
      </c>
      <c r="K21" s="13" t="n">
        <f aca="false">K20+J21</f>
        <v>-79977.853777834</v>
      </c>
      <c r="L21" s="13" t="n">
        <f aca="false">MIN(J21:J51)</f>
        <v>-7917.45192328919</v>
      </c>
    </row>
    <row r="22" customFormat="false" ht="15" hidden="false" customHeight="false" outlineLevel="0" collapsed="false">
      <c r="A22" s="0" t="n">
        <v>7</v>
      </c>
      <c r="B22" s="20" t="n">
        <f aca="false">IF(Inputs!B22=0,1,1/(1+EXP(-Inputs!B22*(A22-Inputs!B21))))</f>
        <v>0.993307149075715</v>
      </c>
      <c r="C22" s="31" t="n">
        <f aca="false">IF(A22-Inputs!B23&lt;1,0,$B$9*IF(Inputs!B22=0,1,1/(1+EXP(-Inputs!B22*(A22-Inputs!B23-Inputs!B21)))))</f>
        <v>1.96402758007582</v>
      </c>
      <c r="D22" s="31" t="n">
        <f aca="true">D21*(1-$B$5)+IF(A22-Inputs!B17&lt;1,0,OFFSET(C22,-Inputs!B17,0)*(1-$B$5)^Inputs!B17)</f>
        <v>8.15113128861915</v>
      </c>
      <c r="E22" s="13" t="n">
        <f aca="false">IF(D22&gt;0,F22/D22,0)</f>
        <v>2826.65821156236</v>
      </c>
      <c r="F22" s="13" t="n">
        <f aca="true">F21*(1-$B$5)*(1+$B$6)+IF(A22-Inputs!B17&lt;1,0,OFFSET(C22,-Inputs!B17,0)*(1-$B$5)^Inputs!B17)*$B$3</f>
        <v>23040.4621904983</v>
      </c>
      <c r="G22" s="13" t="n">
        <f aca="false">F22*$B$4</f>
        <v>12096.2426500116</v>
      </c>
      <c r="H22" s="13" t="n">
        <f aca="false">$B$9*B22*$B$7</f>
        <v>347.6575021765</v>
      </c>
      <c r="I22" s="13" t="n">
        <f aca="false">$B$8</f>
        <v>17000</v>
      </c>
      <c r="J22" s="13" t="n">
        <f aca="false">G22-H22-I22</f>
        <v>-5251.41485216492</v>
      </c>
      <c r="K22" s="13" t="n">
        <f aca="false">K21+J22</f>
        <v>-85229.2686299989</v>
      </c>
      <c r="L22" s="13" t="n">
        <f aca="false">MIN(J22:J51)</f>
        <v>-5251.41485216492</v>
      </c>
    </row>
    <row r="23" customFormat="false" ht="15" hidden="false" customHeight="false" outlineLevel="0" collapsed="false">
      <c r="A23" s="0" t="n">
        <v>8</v>
      </c>
      <c r="B23" s="20" t="n">
        <f aca="false">IF(Inputs!B22=0,1,1/(1+EXP(-Inputs!B22*(A23-Inputs!B21))))</f>
        <v>0.997527376843365</v>
      </c>
      <c r="C23" s="31" t="n">
        <f aca="false">IF(A23-Inputs!B23&lt;1,0,$B$9*IF(Inputs!B22=0,1,1/(1+EXP(-Inputs!B22*(A23-Inputs!B23-Inputs!B21)))))</f>
        <v>1.98661429815143</v>
      </c>
      <c r="D23" s="31" t="n">
        <f aca="true">D22*(1-$B$5)+IF(A23-Inputs!B17&lt;1,0,OFFSET(C23,-Inputs!B17,0)*(1-$B$5)^Inputs!B17)</f>
        <v>9.89321164811201</v>
      </c>
      <c r="E23" s="13" t="n">
        <f aca="false">IF(D23&gt;0,F23/D23,0)</f>
        <v>2838.87543139352</v>
      </c>
      <c r="F23" s="13" t="n">
        <f aca="true">F22*(1-$B$5)*(1+$B$6)+IF(A23-Inputs!B17&lt;1,0,OFFSET(C23,-Inputs!B17,0)*(1-$B$5)^Inputs!B17)*$B$3</f>
        <v>28085.5954854014</v>
      </c>
      <c r="G23" s="13" t="n">
        <f aca="false">F23*$B$4</f>
        <v>14744.9376298357</v>
      </c>
      <c r="H23" s="13" t="n">
        <f aca="false">$B$9*B23*$B$7</f>
        <v>349.134581895178</v>
      </c>
      <c r="I23" s="13" t="n">
        <f aca="false">$B$8</f>
        <v>17000</v>
      </c>
      <c r="J23" s="13" t="n">
        <f aca="false">G23-H23-I23</f>
        <v>-2604.19695205947</v>
      </c>
      <c r="K23" s="13" t="n">
        <f aca="false">K22+J23</f>
        <v>-87833.4655820584</v>
      </c>
      <c r="L23" s="13" t="n">
        <f aca="false">MIN(J23:J51)</f>
        <v>-2604.19695205947</v>
      </c>
    </row>
    <row r="24" customFormat="false" ht="15" hidden="false" customHeight="false" outlineLevel="0" collapsed="false">
      <c r="A24" s="0" t="n">
        <v>9</v>
      </c>
      <c r="B24" s="20" t="n">
        <f aca="false">IF(Inputs!B22=0,1,1/(1+EXP(-Inputs!B22*(A24-Inputs!B21))))</f>
        <v>0.999088948805599</v>
      </c>
      <c r="C24" s="31" t="n">
        <f aca="false">IF(A24-Inputs!B23&lt;1,0,$B$9*IF(Inputs!B22=0,1,1/(1+EXP(-Inputs!B22*(A24-Inputs!B23-Inputs!B21)))))</f>
        <v>1.99505475368673</v>
      </c>
      <c r="D24" s="31" t="n">
        <f aca="true">D23*(1-$B$5)+IF(A24-Inputs!B17&lt;1,0,OFFSET(C24,-Inputs!B17,0)*(1-$B$5)^Inputs!B17)</f>
        <v>11.5914700523554</v>
      </c>
      <c r="E24" s="13" t="n">
        <f aca="false">IF(D24&gt;0,F24/D24,0)</f>
        <v>2851.38422385108</v>
      </c>
      <c r="F24" s="13" t="n">
        <f aca="true">F23*(1-$B$5)*(1+$B$6)+IF(A24-Inputs!B17&lt;1,0,OFFSET(C24,-Inputs!B17,0)*(1-$B$5)^Inputs!B17)*$B$3</f>
        <v>33051.7348385284</v>
      </c>
      <c r="G24" s="13" t="n">
        <f aca="false">F24*$B$4</f>
        <v>17352.1607902274</v>
      </c>
      <c r="H24" s="13" t="n">
        <f aca="false">$B$9*B24*$B$7</f>
        <v>349.68113208196</v>
      </c>
      <c r="I24" s="13" t="n">
        <f aca="false">$B$8</f>
        <v>17000</v>
      </c>
      <c r="J24" s="13" t="n">
        <f aca="false">G24-H24-I24</f>
        <v>2.47965814543932</v>
      </c>
      <c r="K24" s="13" t="n">
        <f aca="false">K23+J24</f>
        <v>-87830.9859239129</v>
      </c>
      <c r="L24" s="13" t="n">
        <f aca="false">MIN(J24:J51)</f>
        <v>2.47965814543932</v>
      </c>
    </row>
    <row r="25" customFormat="false" ht="15" hidden="false" customHeight="false" outlineLevel="0" collapsed="false">
      <c r="A25" s="0" t="n">
        <v>10</v>
      </c>
      <c r="B25" s="20" t="n">
        <f aca="false">IF(Inputs!B22=0,1,1/(1+EXP(-Inputs!B22*(A25-Inputs!B21))))</f>
        <v>0.999664649869534</v>
      </c>
      <c r="C25" s="31" t="n">
        <f aca="false">IF(A25-Inputs!B23&lt;1,0,$B$9*IF(Inputs!B22=0,1,1/(1+EXP(-Inputs!B22*(A25-Inputs!B23-Inputs!B21)))))</f>
        <v>1.9981778976112</v>
      </c>
      <c r="D25" s="31" t="n">
        <f aca="true">D24*(1-$B$5)+IF(A25-Inputs!B17&lt;1,0,OFFSET(C25,-Inputs!B17,0)*(1-$B$5)^Inputs!B17)</f>
        <v>13.2419038483959</v>
      </c>
      <c r="E25" s="13" t="n">
        <f aca="false">IF(D25&gt;0,F25/D25,0)</f>
        <v>2864.06914907266</v>
      </c>
      <c r="F25" s="13" t="n">
        <f aca="true">F24*(1-$B$5)*(1+$B$6)+IF(A25-Inputs!B17&lt;1,0,OFFSET(C25,-Inputs!B17,0)*(1-$B$5)^Inputs!B17)*$B$3</f>
        <v>37925.7282871773</v>
      </c>
      <c r="G25" s="13" t="n">
        <f aca="false">F25*$B$4</f>
        <v>19911.0073507681</v>
      </c>
      <c r="H25" s="13" t="n">
        <f aca="false">$B$9*B25*$B$7</f>
        <v>349.882627454337</v>
      </c>
      <c r="I25" s="13" t="n">
        <f aca="false">$B$8</f>
        <v>17000</v>
      </c>
      <c r="J25" s="13" t="n">
        <f aca="false">G25-H25-I25</f>
        <v>2561.12472331377</v>
      </c>
      <c r="K25" s="13" t="n">
        <f aca="false">K24+J25</f>
        <v>-85269.8612005992</v>
      </c>
      <c r="L25" s="13" t="n">
        <f aca="false">MIN(J25:J51)</f>
        <v>2561.12472331377</v>
      </c>
    </row>
    <row r="26" customFormat="false" ht="15" hidden="false" customHeight="false" outlineLevel="0" collapsed="false">
      <c r="A26" s="0" t="n">
        <v>11</v>
      </c>
      <c r="B26" s="20" t="n">
        <f aca="false">IF(Inputs!B22=0,1,1/(1+EXP(-Inputs!B22*(A26-Inputs!B21))))</f>
        <v>0.999876605424014</v>
      </c>
      <c r="C26" s="31" t="n">
        <f aca="false">IF(A26-Inputs!B23&lt;1,0,$B$9*IF(Inputs!B22=0,1,1/(1+EXP(-Inputs!B22*(A26-Inputs!B23-Inputs!B21)))))</f>
        <v>1.99932929973907</v>
      </c>
      <c r="D26" s="31" t="n">
        <f aca="true">D25*(1-$B$5)+IF(A26-Inputs!B17&lt;1,0,OFFSET(C26,-Inputs!B17,0)*(1-$B$5)^Inputs!B17)</f>
        <v>14.8439760326831</v>
      </c>
      <c r="E26" s="13" t="n">
        <f aca="false">IF(D26&gt;0,F26/D26,0)</f>
        <v>2876.85554838535</v>
      </c>
      <c r="F26" s="13" t="n">
        <f aca="true">F25*(1-$B$5)*(1+$B$6)+IF(A26-Inputs!B17&lt;1,0,OFFSET(C26,-Inputs!B17,0)*(1-$B$5)^Inputs!B17)*$B$3</f>
        <v>42703.9748097235</v>
      </c>
      <c r="G26" s="13" t="n">
        <f aca="false">F26*$B$4</f>
        <v>22419.5867751049</v>
      </c>
      <c r="H26" s="13" t="n">
        <f aca="false">$B$9*B26*$B$7</f>
        <v>349.956811898405</v>
      </c>
      <c r="I26" s="13" t="n">
        <f aca="false">$B$8</f>
        <v>17000</v>
      </c>
      <c r="J26" s="13" t="n">
        <f aca="false">G26-H26-I26</f>
        <v>5069.62996320646</v>
      </c>
      <c r="K26" s="13" t="n">
        <f aca="false">K25+J26</f>
        <v>-80200.2312373927</v>
      </c>
      <c r="L26" s="13" t="n">
        <f aca="false">MIN(J26:J51)</f>
        <v>5069.62996320646</v>
      </c>
    </row>
    <row r="27" customFormat="false" ht="15" hidden="false" customHeight="false" outlineLevel="0" collapsed="false">
      <c r="A27" s="0" t="n">
        <v>12</v>
      </c>
      <c r="B27" s="20" t="n">
        <f aca="false">IF(Inputs!B22=0,1,1/(1+EXP(-Inputs!B22*(A27-Inputs!B21))))</f>
        <v>0.999954602131298</v>
      </c>
      <c r="C27" s="31" t="n">
        <f aca="false">IF(A27-Inputs!B23&lt;1,0,$B$9*IF(Inputs!B22=0,1,1/(1+EXP(-Inputs!B22*(A27-Inputs!B23-Inputs!B21)))))</f>
        <v>1.99975321084803</v>
      </c>
      <c r="D27" s="31" t="n">
        <f aca="true">D26*(1-$B$5)+IF(A27-Inputs!B17&lt;1,0,OFFSET(C27,-Inputs!B17,0)*(1-$B$5)^Inputs!B17)</f>
        <v>16.3984099625506</v>
      </c>
      <c r="E27" s="13" t="n">
        <f aca="false">IF(D27&gt;0,F27/D27,0)</f>
        <v>2889.69475634569</v>
      </c>
      <c r="F27" s="13" t="n">
        <f aca="true">F26*(1-$B$5)*(1+$B$6)+IF(A27-Inputs!B17&lt;1,0,OFFSET(C27,-Inputs!B17,0)*(1-$B$5)^Inputs!B17)*$B$3</f>
        <v>47386.3992811894</v>
      </c>
      <c r="G27" s="13" t="n">
        <f aca="false">F27*$B$4</f>
        <v>24877.8596226245</v>
      </c>
      <c r="H27" s="13" t="n">
        <f aca="false">$B$9*B27*$B$7</f>
        <v>349.984110745954</v>
      </c>
      <c r="I27" s="13" t="n">
        <f aca="false">$B$8</f>
        <v>17000</v>
      </c>
      <c r="J27" s="13" t="n">
        <f aca="false">G27-H27-I27</f>
        <v>7527.8755118785</v>
      </c>
      <c r="K27" s="13" t="n">
        <f aca="false">K26+J27</f>
        <v>-72672.3557255142</v>
      </c>
      <c r="L27" s="13" t="n">
        <f aca="false">MIN(J27:J51)</f>
        <v>7527.8755118785</v>
      </c>
    </row>
    <row r="28" customFormat="false" ht="15" hidden="false" customHeight="false" outlineLevel="0" collapsed="false">
      <c r="A28" s="0" t="n">
        <v>13</v>
      </c>
      <c r="B28" s="20" t="n">
        <f aca="false">IF(Inputs!B22=0,1,1/(1+EXP(-Inputs!B22*(A28-Inputs!B21))))</f>
        <v>0.999983298578152</v>
      </c>
      <c r="C28" s="31" t="n">
        <f aca="false">IF(A28-Inputs!B23&lt;1,0,$B$9*IF(Inputs!B22=0,1,1/(1+EXP(-Inputs!B22*(A28-Inputs!B23-Inputs!B21)))))</f>
        <v>1.9999092042626</v>
      </c>
      <c r="D28" s="31" t="n">
        <f aca="true">D27*(1-$B$5)+IF(A28-Inputs!B17&lt;1,0,OFFSET(C28,-Inputs!B17,0)*(1-$B$5)^Inputs!B17)</f>
        <v>17.9063668679367</v>
      </c>
      <c r="E28" s="13" t="n">
        <f aca="false">IF(D28&gt;0,F28/D28,0)</f>
        <v>2902.5543707962</v>
      </c>
      <c r="F28" s="13" t="n">
        <f aca="true">F27*(1-$B$5)*(1+$B$6)+IF(A28-Inputs!B17&lt;1,0,OFFSET(C28,-Inputs!B17,0)*(1-$B$5)^Inputs!B17)*$B$3</f>
        <v>51974.20341761</v>
      </c>
      <c r="G28" s="13" t="n">
        <f aca="false">F28*$B$4</f>
        <v>27286.4567942452</v>
      </c>
      <c r="H28" s="13" t="n">
        <f aca="false">$B$9*B28*$B$7</f>
        <v>349.994154502353</v>
      </c>
      <c r="I28" s="13" t="n">
        <f aca="false">$B$8</f>
        <v>17000</v>
      </c>
      <c r="J28" s="13" t="n">
        <f aca="false">G28-H28-I28</f>
        <v>9936.46263974289</v>
      </c>
      <c r="K28" s="13" t="n">
        <f aca="false">K27+J28</f>
        <v>-62735.8930857713</v>
      </c>
      <c r="L28" s="13" t="n">
        <f aca="false">MIN(J28:J51)</f>
        <v>9936.46263974289</v>
      </c>
    </row>
    <row r="29" customFormat="false" ht="15" hidden="false" customHeight="false" outlineLevel="0" collapsed="false">
      <c r="A29" s="0" t="n">
        <v>14</v>
      </c>
      <c r="B29" s="20" t="n">
        <f aca="false">IF(Inputs!B22=0,1,1/(1+EXP(-Inputs!B22*(A29-Inputs!B21))))</f>
        <v>0.999993855825398</v>
      </c>
      <c r="C29" s="31" t="n">
        <f aca="false">IF(A29-Inputs!B23&lt;1,0,$B$9*IF(Inputs!B22=0,1,1/(1+EXP(-Inputs!B22*(A29-Inputs!B23-Inputs!B21)))))</f>
        <v>1.9999665971563</v>
      </c>
      <c r="D29" s="31" t="n">
        <f aca="true">D28*(1-$B$5)+IF(A29-Inputs!B17&lt;1,0,OFFSET(C29,-Inputs!B17,0)*(1-$B$5)^Inputs!B17)</f>
        <v>19.3691424590549</v>
      </c>
      <c r="E29" s="13" t="n">
        <f aca="false">IF(D29&gt;0,F29/D29,0)</f>
        <v>2915.41220860516</v>
      </c>
      <c r="F29" s="13" t="n">
        <f aca="true">F28*(1-$B$5)*(1+$B$6)+IF(A29-Inputs!B17&lt;1,0,OFFSET(C29,-Inputs!B17,0)*(1-$B$5)^Inputs!B17)*$B$3</f>
        <v>56469.0343953413</v>
      </c>
      <c r="G29" s="13" t="n">
        <f aca="false">F29*$B$4</f>
        <v>29646.2430575542</v>
      </c>
      <c r="H29" s="13" t="n">
        <f aca="false">$B$9*B29*$B$7</f>
        <v>349.997849538889</v>
      </c>
      <c r="I29" s="13" t="n">
        <f aca="false">$B$8</f>
        <v>17000</v>
      </c>
      <c r="J29" s="13" t="n">
        <f aca="false">G29-H29-I29</f>
        <v>12296.2452080153</v>
      </c>
      <c r="K29" s="13" t="n">
        <f aca="false">K28+J29</f>
        <v>-50439.6478777561</v>
      </c>
      <c r="L29" s="13" t="n">
        <f aca="false">MIN(J29:J51)</f>
        <v>12296.2452080153</v>
      </c>
    </row>
    <row r="30" customFormat="false" ht="15" hidden="false" customHeight="false" outlineLevel="0" collapsed="false">
      <c r="A30" s="0" t="n">
        <v>15</v>
      </c>
      <c r="B30" s="20" t="n">
        <f aca="false">IF(Inputs!B22=0,1,1/(1+EXP(-Inputs!B22*(A30-Inputs!B21))))</f>
        <v>0.999997739675702</v>
      </c>
      <c r="C30" s="31" t="n">
        <f aca="false">IF(A30-Inputs!B23&lt;1,0,$B$9*IF(Inputs!B22=0,1,1/(1+EXP(-Inputs!B22*(A30-Inputs!B23-Inputs!B21)))))</f>
        <v>1.9999877116508</v>
      </c>
      <c r="D30" s="31" t="n">
        <f aca="true">D29*(1-$B$5)+IF(A30-Inputs!B17&lt;1,0,OFFSET(C30,-Inputs!B17,0)*(1-$B$5)^Inputs!B17)</f>
        <v>20.7880558969341</v>
      </c>
      <c r="E30" s="13" t="n">
        <f aca="false">IF(D30&gt;0,F30/D30,0)</f>
        <v>2928.25260807215</v>
      </c>
      <c r="F30" s="13" t="n">
        <f aca="true">F29*(1-$B$5)*(1+$B$6)+IF(A30-Inputs!B17&lt;1,0,OFFSET(C30,-Inputs!B17,0)*(1-$B$5)^Inputs!B17)*$B$3</f>
        <v>60872.6788969468</v>
      </c>
      <c r="G30" s="13" t="n">
        <f aca="false">F30*$B$4</f>
        <v>31958.1564208971</v>
      </c>
      <c r="H30" s="13" t="n">
        <f aca="false">$B$9*B30*$B$7</f>
        <v>349.999208886496</v>
      </c>
      <c r="I30" s="13" t="n">
        <f aca="false">$B$8</f>
        <v>17000</v>
      </c>
      <c r="J30" s="13" t="n">
        <f aca="false">G30-H30-I30</f>
        <v>14608.1572120106</v>
      </c>
      <c r="K30" s="13" t="n">
        <f aca="false">K29+J30</f>
        <v>-35831.4906657455</v>
      </c>
      <c r="L30" s="13" t="n">
        <f aca="false">MIN(J30:J51)</f>
        <v>14608.1572120106</v>
      </c>
    </row>
    <row r="31" customFormat="false" ht="15" hidden="false" customHeight="false" outlineLevel="0" collapsed="false">
      <c r="A31" s="0" t="n">
        <v>16</v>
      </c>
      <c r="B31" s="20" t="n">
        <f aca="false">IF(Inputs!B22=0,1,1/(1+EXP(-Inputs!B22*(A31-Inputs!B21))))</f>
        <v>0.999999168471972</v>
      </c>
      <c r="C31" s="31" t="n">
        <f aca="false">IF(A31-Inputs!B23&lt;1,0,$B$9*IF(Inputs!B22=0,1,1/(1+EXP(-Inputs!B22*(A31-Inputs!B23-Inputs!B21)))))</f>
        <v>1.9999954793514</v>
      </c>
      <c r="D31" s="31" t="n">
        <f aca="true">D30*(1-$B$5)+IF(A31-Inputs!B17&lt;1,0,OFFSET(C31,-Inputs!B17,0)*(1-$B$5)^Inputs!B17)</f>
        <v>22.1644096993775</v>
      </c>
      <c r="E31" s="13" t="n">
        <f aca="false">IF(D31&gt;0,F31/D31,0)</f>
        <v>2941.06415892366</v>
      </c>
      <c r="F31" s="13" t="n">
        <f aca="true">F30*(1-$B$5)*(1+$B$6)+IF(A31-Inputs!B17&lt;1,0,OFFSET(C31,-Inputs!B17,0)*(1-$B$5)^Inputs!B17)*$B$3</f>
        <v>65186.9509705389</v>
      </c>
      <c r="G31" s="13" t="n">
        <f aca="false">F31*$B$4</f>
        <v>34223.1492595329</v>
      </c>
      <c r="H31" s="13" t="n">
        <f aca="false">$B$9*B31*$B$7</f>
        <v>349.99970896519</v>
      </c>
      <c r="I31" s="13" t="n">
        <f aca="false">$B$8</f>
        <v>17000</v>
      </c>
      <c r="J31" s="13" t="n">
        <f aca="false">G31-H31-I31</f>
        <v>16873.1495505677</v>
      </c>
      <c r="K31" s="13" t="n">
        <f aca="false">K30+J31</f>
        <v>-18958.3411151777</v>
      </c>
      <c r="L31" s="13" t="n">
        <f aca="false">MIN(J31:J51)</f>
        <v>16873.1495505677</v>
      </c>
    </row>
    <row r="32" customFormat="false" ht="15" hidden="false" customHeight="false" outlineLevel="0" collapsed="false">
      <c r="A32" s="0" t="n">
        <v>17</v>
      </c>
      <c r="B32" s="20" t="n">
        <f aca="false">IF(Inputs!B22=0,1,1/(1+EXP(-Inputs!B22*(A32-Inputs!B21))))</f>
        <v>0.999999694097773</v>
      </c>
      <c r="C32" s="31" t="n">
        <f aca="false">IF(A32-Inputs!B23&lt;1,0,$B$9*IF(Inputs!B22=0,1,1/(1+EXP(-Inputs!B22*(A32-Inputs!B23-Inputs!B21)))))</f>
        <v>1.99999833694394</v>
      </c>
      <c r="D32" s="31" t="n">
        <f aca="true">D31*(1-$B$5)+IF(A32-Inputs!B17&lt;1,0,OFFSET(C32,-Inputs!B17,0)*(1-$B$5)^Inputs!B17)</f>
        <v>23.4994757453401</v>
      </c>
      <c r="E32" s="13" t="n">
        <f aca="false">IF(D32&gt;0,F32/D32,0)</f>
        <v>2953.83828997211</v>
      </c>
      <c r="F32" s="13" t="n">
        <f aca="true">F31*(1-$B$5)*(1+$B$6)+IF(A32-Inputs!B17&lt;1,0,OFFSET(C32,-Inputs!B17,0)*(1-$B$5)^Inputs!B17)*$B$3</f>
        <v>69413.6512508564</v>
      </c>
      <c r="G32" s="13" t="n">
        <f aca="false">F32*$B$4</f>
        <v>36442.1669066996</v>
      </c>
      <c r="H32" s="13" t="n">
        <f aca="false">$B$9*B32*$B$7</f>
        <v>349.999892934221</v>
      </c>
      <c r="I32" s="13" t="n">
        <f aca="false">$B$8</f>
        <v>17000</v>
      </c>
      <c r="J32" s="13" t="n">
        <f aca="false">G32-H32-I32</f>
        <v>19092.1670137654</v>
      </c>
      <c r="K32" s="13" t="n">
        <f aca="false">K31+J32</f>
        <v>133.82589858766</v>
      </c>
      <c r="L32" s="13" t="n">
        <f aca="false">MIN(J32:J51)</f>
        <v>19092.1670137654</v>
      </c>
    </row>
    <row r="33" customFormat="false" ht="15" hidden="false" customHeight="false" outlineLevel="0" collapsed="false">
      <c r="A33" s="0" t="n">
        <v>18</v>
      </c>
      <c r="B33" s="20" t="n">
        <f aca="false">IF(Inputs!B22=0,1,1/(1+EXP(-Inputs!B22*(A33-Inputs!B21))))</f>
        <v>0.999999887464838</v>
      </c>
      <c r="C33" s="31" t="n">
        <f aca="false">IF(A33-Inputs!B23&lt;1,0,$B$9*IF(Inputs!B22=0,1,1/(1+EXP(-Inputs!B22*(A33-Inputs!B23-Inputs!B21)))))</f>
        <v>1.99999938819555</v>
      </c>
      <c r="D33" s="31" t="n">
        <f aca="true">D32*(1-$B$5)+IF(A33-Inputs!B17&lt;1,0,OFFSET(C33,-Inputs!B17,0)*(1-$B$5)^Inputs!B17)</f>
        <v>24.7944908611754</v>
      </c>
      <c r="E33" s="13" t="n">
        <f aca="false">IF(D33&gt;0,F33/D33,0)</f>
        <v>2966.56837377865</v>
      </c>
      <c r="F33" s="13" t="n">
        <f aca="true">F32*(1-$B$5)*(1+$B$6)+IF(A33-Inputs!B17&lt;1,0,OFFSET(C33,-Inputs!B17,0)*(1-$B$5)^Inputs!B17)*$B$3</f>
        <v>73554.5524327067</v>
      </c>
      <c r="G33" s="13" t="n">
        <f aca="false">F33*$B$4</f>
        <v>38616.140027171</v>
      </c>
      <c r="H33" s="13" t="n">
        <f aca="false">$B$9*B33*$B$7</f>
        <v>349.999960612693</v>
      </c>
      <c r="I33" s="13" t="n">
        <f aca="false">$B$8</f>
        <v>17000</v>
      </c>
      <c r="J33" s="13" t="n">
        <f aca="false">G33-H33-I33</f>
        <v>21266.1400665583</v>
      </c>
      <c r="K33" s="13" t="n">
        <f aca="false">K32+J33</f>
        <v>21399.965965146</v>
      </c>
      <c r="L33" s="13" t="n">
        <f aca="false">MIN(J33:J51)</f>
        <v>21266.1400665583</v>
      </c>
    </row>
    <row r="34" customFormat="false" ht="15" hidden="false" customHeight="false" outlineLevel="0" collapsed="false">
      <c r="A34" s="0" t="n">
        <v>19</v>
      </c>
      <c r="B34" s="20" t="n">
        <f aca="false">IF(Inputs!B22=0,1,1/(1+EXP(-Inputs!B22*(A34-Inputs!B21))))</f>
        <v>0.999999958600624</v>
      </c>
      <c r="C34" s="31" t="n">
        <f aca="false">IF(A34-Inputs!B23&lt;1,0,$B$9*IF(Inputs!B22=0,1,1/(1+EXP(-Inputs!B22*(A34-Inputs!B23-Inputs!B21)))))</f>
        <v>1.99999977492968</v>
      </c>
      <c r="D34" s="31" t="n">
        <f aca="true">D33*(1-$B$5)+IF(A34-Inputs!B17&lt;1,0,OFFSET(C34,-Inputs!B17,0)*(1-$B$5)^Inputs!B17)</f>
        <v>26.0506559102698</v>
      </c>
      <c r="E34" s="13" t="n">
        <f aca="false">IF(D34&gt;0,F34/D34,0)</f>
        <v>2979.24914678084</v>
      </c>
      <c r="F34" s="13" t="n">
        <f aca="true">F33*(1-$B$5)*(1+$B$6)+IF(A34-Inputs!B17&lt;1,0,OFFSET(C34,-Inputs!B17,0)*(1-$B$5)^Inputs!B17)*$B$3</f>
        <v>77611.3943937526</v>
      </c>
      <c r="G34" s="13" t="n">
        <f aca="false">F34*$B$4</f>
        <v>40745.9820567201</v>
      </c>
      <c r="H34" s="13" t="n">
        <f aca="false">$B$9*B34*$B$7</f>
        <v>349.999985510219</v>
      </c>
      <c r="I34" s="13" t="n">
        <f aca="false">$B$8</f>
        <v>17000</v>
      </c>
      <c r="J34" s="13" t="n">
        <f aca="false">G34-H34-I34</f>
        <v>23395.9820712099</v>
      </c>
      <c r="K34" s="13" t="n">
        <f aca="false">K33+J34</f>
        <v>44795.9480363559</v>
      </c>
      <c r="L34" s="13" t="n">
        <f aca="false">MIN(J34:J51)</f>
        <v>23395.9820712099</v>
      </c>
    </row>
    <row r="35" customFormat="false" ht="15" hidden="false" customHeight="false" outlineLevel="0" collapsed="false">
      <c r="A35" s="0" t="n">
        <v>20</v>
      </c>
      <c r="B35" s="20" t="n">
        <f aca="false">IF(Inputs!B22=0,1,1/(1+EXP(-Inputs!B22*(A35-Inputs!B21))))</f>
        <v>0.999999984770021</v>
      </c>
      <c r="C35" s="31" t="n">
        <f aca="false">IF(A35-Inputs!B23&lt;1,0,$B$9*IF(Inputs!B22=0,1,1/(1+EXP(-Inputs!B22*(A35-Inputs!B23-Inputs!B21)))))</f>
        <v>1.99999991720125</v>
      </c>
      <c r="D35" s="31" t="n">
        <f aca="true">D34*(1-$B$5)+IF(A35-Inputs!B17&lt;1,0,OFFSET(C35,-Inputs!B17,0)*(1-$B$5)^Inputs!B17)</f>
        <v>27.269136150163</v>
      </c>
      <c r="E35" s="13" t="n">
        <f aca="false">IF(D35&gt;0,F35/D35,0)</f>
        <v>2991.87632525372</v>
      </c>
      <c r="F35" s="13" t="n">
        <f aca="true">F34*(1-$B$5)*(1+$B$6)+IF(A35-Inputs!B17&lt;1,0,OFFSET(C35,-Inputs!B17,0)*(1-$B$5)^Inputs!B17)*$B$3</f>
        <v>81585.8828577929</v>
      </c>
      <c r="G35" s="13" t="n">
        <f aca="false">F35*$B$4</f>
        <v>42832.5885003413</v>
      </c>
      <c r="H35" s="13" t="n">
        <f aca="false">$B$9*B35*$B$7</f>
        <v>349.999994669507</v>
      </c>
      <c r="I35" s="13" t="n">
        <f aca="false">$B$8</f>
        <v>17000</v>
      </c>
      <c r="J35" s="13" t="n">
        <f aca="false">G35-H35-I35</f>
        <v>25482.5885056717</v>
      </c>
      <c r="K35" s="13" t="n">
        <f aca="false">K34+J35</f>
        <v>70278.5365420276</v>
      </c>
      <c r="L35" s="13" t="n">
        <f aca="false">MIN(J35:J51)</f>
        <v>25482.5885056717</v>
      </c>
    </row>
    <row r="36" customFormat="false" ht="15" hidden="false" customHeight="false" outlineLevel="0" collapsed="false">
      <c r="A36" s="0" t="n">
        <v>21</v>
      </c>
      <c r="B36" s="20" t="n">
        <f aca="false">IF(Inputs!B22=0,1,1/(1+EXP(-Inputs!B22*(A36-Inputs!B21))))</f>
        <v>0.999999994397204</v>
      </c>
      <c r="C36" s="31" t="n">
        <f aca="false">IF(A36-Inputs!B23&lt;1,0,$B$9*IF(Inputs!B22=0,1,1/(1+EXP(-Inputs!B22*(A36-Inputs!B23-Inputs!B21)))))</f>
        <v>1.99999996954004</v>
      </c>
      <c r="D36" s="31" t="n">
        <f aca="true">D35*(1-$B$5)+IF(A36-Inputs!B17&lt;1,0,OFFSET(C36,-Inputs!B17,0)*(1-$B$5)^Inputs!B17)</f>
        <v>28.4510620351981</v>
      </c>
      <c r="E36" s="13" t="n">
        <f aca="false">IF(D36&gt;0,F36/D36,0)</f>
        <v>3004.44634528941</v>
      </c>
      <c r="F36" s="13" t="n">
        <f aca="true">F35*(1-$B$5)*(1+$B$6)+IF(A36-Inputs!B17&lt;1,0,OFFSET(C36,-Inputs!B17,0)*(1-$B$5)^Inputs!B17)*$B$3</f>
        <v>85479.6893512533</v>
      </c>
      <c r="G36" s="13" t="n">
        <f aca="false">F36*$B$4</f>
        <v>44876.836909408</v>
      </c>
      <c r="H36" s="13" t="n">
        <f aca="false">$B$9*B36*$B$7</f>
        <v>349.999998039021</v>
      </c>
      <c r="I36" s="13" t="n">
        <f aca="false">$B$8</f>
        <v>17000</v>
      </c>
      <c r="J36" s="13" t="n">
        <f aca="false">G36-H36-I36</f>
        <v>27526.836911369</v>
      </c>
      <c r="K36" s="13" t="n">
        <f aca="false">K35+J36</f>
        <v>97805.3734533966</v>
      </c>
      <c r="L36" s="13" t="n">
        <f aca="false">MIN(J36:J51)</f>
        <v>27526.836911369</v>
      </c>
    </row>
    <row r="37" customFormat="false" ht="15" hidden="false" customHeight="false" outlineLevel="0" collapsed="false">
      <c r="A37" s="0" t="n">
        <v>22</v>
      </c>
      <c r="B37" s="20" t="n">
        <f aca="false">IF(Inputs!B22=0,1,1/(1+EXP(-Inputs!B22*(A37-Inputs!B21))))</f>
        <v>0.999999997938846</v>
      </c>
      <c r="C37" s="31" t="n">
        <f aca="false">IF(A37-Inputs!B23&lt;1,0,$B$9*IF(Inputs!B22=0,1,1/(1+EXP(-Inputs!B22*(A37-Inputs!B23-Inputs!B21)))))</f>
        <v>1.99999998879441</v>
      </c>
      <c r="D37" s="31" t="n">
        <f aca="true">D36*(1-$B$5)+IF(A37-Inputs!B17&lt;1,0,OFFSET(C37,-Inputs!B17,0)*(1-$B$5)^Inputs!B17)</f>
        <v>29.5975301629366</v>
      </c>
      <c r="E37" s="13" t="n">
        <f aca="false">IF(D37&gt;0,F37/D37,0)</f>
        <v>3016.95618299077</v>
      </c>
      <c r="F37" s="13" t="n">
        <f aca="true">F36*(1-$B$5)*(1+$B$6)+IF(A37-Inputs!B17&lt;1,0,OFFSET(C37,-Inputs!B17,0)*(1-$B$5)^Inputs!B17)*$B$3</f>
        <v>89294.4516263273</v>
      </c>
      <c r="G37" s="13" t="n">
        <f aca="false">F37*$B$4</f>
        <v>46879.5871038218</v>
      </c>
      <c r="H37" s="13" t="n">
        <f aca="false">$B$9*B37*$B$7</f>
        <v>349.999999278596</v>
      </c>
      <c r="I37" s="13" t="n">
        <f aca="false">$B$8</f>
        <v>17000</v>
      </c>
      <c r="J37" s="13" t="n">
        <f aca="false">G37-H37-I37</f>
        <v>29529.5871045432</v>
      </c>
      <c r="K37" s="13" t="n">
        <f aca="false">K36+J37</f>
        <v>127334.96055794</v>
      </c>
      <c r="L37" s="13" t="n">
        <f aca="false">MIN(J37:J51)</f>
        <v>29529.5871045432</v>
      </c>
    </row>
    <row r="38" customFormat="false" ht="15" hidden="false" customHeight="false" outlineLevel="0" collapsed="false">
      <c r="A38" s="0" t="n">
        <v>23</v>
      </c>
      <c r="B38" s="20" t="n">
        <f aca="false">IF(Inputs!B22=0,1,1/(1+EXP(-Inputs!B22*(A38-Inputs!B21))))</f>
        <v>0.999999999241744</v>
      </c>
      <c r="C38" s="31" t="n">
        <f aca="false">IF(A38-Inputs!B23&lt;1,0,$B$9*IF(Inputs!B22=0,1,1/(1+EXP(-Inputs!B22*(A38-Inputs!B23-Inputs!B21)))))</f>
        <v>1.99999999587769</v>
      </c>
      <c r="D38" s="31" t="n">
        <f aca="true">D37*(1-$B$5)+IF(A38-Inputs!B17&lt;1,0,OFFSET(C38,-Inputs!B17,0)*(1-$B$5)^Inputs!B17)</f>
        <v>30.7096042539262</v>
      </c>
      <c r="E38" s="13" t="n">
        <f aca="false">IF(D38&gt;0,F38/D38,0)</f>
        <v>3029.40322765571</v>
      </c>
      <c r="F38" s="13" t="n">
        <f aca="true">F37*(1-$B$5)*(1+$B$6)+IF(A38-Inputs!B17&lt;1,0,OFFSET(C38,-Inputs!B17,0)*(1-$B$5)^Inputs!B17)*$B$3</f>
        <v>93031.7742468735</v>
      </c>
      <c r="G38" s="13" t="n">
        <f aca="false">F38*$B$4</f>
        <v>48841.6814796086</v>
      </c>
      <c r="H38" s="13" t="n">
        <f aca="false">$B$9*B38*$B$7</f>
        <v>349.99999973461</v>
      </c>
      <c r="I38" s="13" t="n">
        <f aca="false">$B$8</f>
        <v>17000</v>
      </c>
      <c r="J38" s="13" t="n">
        <f aca="false">G38-H38-I38</f>
        <v>31491.681479874</v>
      </c>
      <c r="K38" s="13" t="n">
        <f aca="false">K37+J38</f>
        <v>158826.642037814</v>
      </c>
      <c r="L38" s="13" t="n">
        <f aca="false">MIN(J38:J51)</f>
        <v>31491.681479874</v>
      </c>
    </row>
    <row r="39" customFormat="false" ht="15" hidden="false" customHeight="false" outlineLevel="0" collapsed="false">
      <c r="A39" s="0" t="n">
        <v>24</v>
      </c>
      <c r="B39" s="20" t="n">
        <f aca="false">IF(Inputs!B22=0,1,1/(1+EXP(-Inputs!B22*(A39-Inputs!B21))))</f>
        <v>0.999999999721053</v>
      </c>
      <c r="C39" s="31" t="n">
        <f aca="false">IF(A39-Inputs!B23&lt;1,0,$B$9*IF(Inputs!B22=0,1,1/(1+EXP(-Inputs!B22*(A39-Inputs!B23-Inputs!B21)))))</f>
        <v>1.99999999848349</v>
      </c>
      <c r="D39" s="31" t="n">
        <f aca="true">D38*(1-$B$5)+IF(A39-Inputs!B17&lt;1,0,OFFSET(C39,-Inputs!B17,0)*(1-$B$5)^Inputs!B17)</f>
        <v>31.7883161247919</v>
      </c>
      <c r="E39" s="13" t="n">
        <f aca="false">IF(D39&gt;0,F39/D39,0)</f>
        <v>3041.78519069282</v>
      </c>
      <c r="F39" s="13" t="n">
        <f aca="true">F38*(1-$B$5)*(1+$B$6)+IF(A39-Inputs!B17&lt;1,0,OFFSET(C39,-Inputs!B17,0)*(1-$B$5)^Inputs!B17)*$B$3</f>
        <v>96693.2292254536</v>
      </c>
      <c r="G39" s="13" t="n">
        <f aca="false">F39*$B$4</f>
        <v>50763.9453433631</v>
      </c>
      <c r="H39" s="13" t="n">
        <f aca="false">$B$9*B39*$B$7</f>
        <v>349.999999902369</v>
      </c>
      <c r="I39" s="13" t="n">
        <f aca="false">$B$8</f>
        <v>17000</v>
      </c>
      <c r="J39" s="13" t="n">
        <f aca="false">G39-H39-I39</f>
        <v>33413.9453434608</v>
      </c>
      <c r="K39" s="13" t="n">
        <f aca="false">K38+J39</f>
        <v>192240.587381275</v>
      </c>
      <c r="L39" s="13" t="n">
        <f aca="false">MIN(J39:J51)</f>
        <v>33413.9453434608</v>
      </c>
    </row>
    <row r="40" customFormat="false" ht="15" hidden="false" customHeight="false" outlineLevel="0" collapsed="false">
      <c r="A40" s="0" t="n">
        <v>25</v>
      </c>
      <c r="B40" s="20" t="n">
        <f aca="false">IF(Inputs!B22=0,1,1/(1+EXP(-Inputs!B22*(A40-Inputs!B21))))</f>
        <v>0.999999999897381</v>
      </c>
      <c r="C40" s="31" t="n">
        <f aca="false">IF(A40-Inputs!B23&lt;1,0,$B$9*IF(Inputs!B22=0,1,1/(1+EXP(-Inputs!B22*(A40-Inputs!B23-Inputs!B21)))))</f>
        <v>1.99999999944211</v>
      </c>
      <c r="D40" s="31" t="n">
        <f aca="true">D39*(1-$B$5)+IF(A40-Inputs!B17&lt;1,0,OFFSET(C40,-Inputs!B17,0)*(1-$B$5)^Inputs!B17)</f>
        <v>32.8346666404902</v>
      </c>
      <c r="E40" s="13" t="n">
        <f aca="false">IF(D40&gt;0,F40/D40,0)</f>
        <v>3054.10003910219</v>
      </c>
      <c r="F40" s="13" t="n">
        <f aca="true">F39*(1-$B$5)*(1+$B$6)+IF(A40-Inputs!B17&lt;1,0,OFFSET(C40,-Inputs!B17,0)*(1-$B$5)^Inputs!B17)*$B$3</f>
        <v>100280.356670629</v>
      </c>
      <c r="G40" s="13" t="n">
        <f aca="false">F40*$B$4</f>
        <v>52647.1872520801</v>
      </c>
      <c r="H40" s="13" t="n">
        <f aca="false">$B$9*B40*$B$7</f>
        <v>349.999999964083</v>
      </c>
      <c r="I40" s="13" t="n">
        <f aca="false">$B$8</f>
        <v>17000</v>
      </c>
      <c r="J40" s="13" t="n">
        <f aca="false">G40-H40-I40</f>
        <v>35297.187252116</v>
      </c>
      <c r="K40" s="13" t="n">
        <f aca="false">K39+J40</f>
        <v>227537.774633391</v>
      </c>
      <c r="L40" s="13" t="n">
        <f aca="false">MIN(J40:J51)</f>
        <v>35297.187252116</v>
      </c>
    </row>
    <row r="41" customFormat="false" ht="15" hidden="false" customHeight="false" outlineLevel="0" collapsed="false">
      <c r="A41" s="0" t="n">
        <v>26</v>
      </c>
      <c r="B41" s="20" t="n">
        <f aca="false">IF(Inputs!B22=0,1,1/(1+EXP(-Inputs!B22*(A41-Inputs!B21))))</f>
        <v>0.999999999962249</v>
      </c>
      <c r="C41" s="31" t="n">
        <f aca="false">IF(A41-Inputs!B23&lt;1,0,$B$9*IF(Inputs!B22=0,1,1/(1+EXP(-Inputs!B22*(A41-Inputs!B23-Inputs!B21)))))</f>
        <v>1.99999999979476</v>
      </c>
      <c r="D41" s="31" t="n">
        <f aca="true">D40*(1-$B$5)+IF(A41-Inputs!B17&lt;1,0,OFFSET(C41,-Inputs!B17,0)*(1-$B$5)^Inputs!B17)</f>
        <v>33.8496266410703</v>
      </c>
      <c r="E41" s="13" t="n">
        <f aca="false">IF(D41&gt;0,F41/D41,0)</f>
        <v>3066.34594615321</v>
      </c>
      <c r="F41" s="13" t="n">
        <f aca="true">F40*(1-$B$5)*(1+$B$6)+IF(A41-Inputs!B17&lt;1,0,OFFSET(C41,-Inputs!B17,0)*(1-$B$5)^Inputs!B17)*$B$3</f>
        <v>103794.665429645</v>
      </c>
      <c r="G41" s="13" t="n">
        <f aca="false">F41*$B$4</f>
        <v>54492.1993505639</v>
      </c>
      <c r="H41" s="13" t="n">
        <f aca="false">$B$9*B41*$B$7</f>
        <v>349.999999986787</v>
      </c>
      <c r="I41" s="13" t="n">
        <f aca="false">$B$8</f>
        <v>17000</v>
      </c>
      <c r="J41" s="13" t="n">
        <f aca="false">G41-H41-I41</f>
        <v>37142.1993505771</v>
      </c>
      <c r="K41" s="13" t="n">
        <f aca="false">K40+J41</f>
        <v>264679.973983968</v>
      </c>
      <c r="L41" s="13" t="n">
        <f aca="false">MIN(J41:J51)</f>
        <v>37142.1993505771</v>
      </c>
    </row>
    <row r="42" customFormat="false" ht="15" hidden="false" customHeight="false" outlineLevel="0" collapsed="false">
      <c r="A42" s="0" t="n">
        <v>27</v>
      </c>
      <c r="B42" s="20" t="n">
        <f aca="false">IF(Inputs!B22=0,1,1/(1+EXP(-Inputs!B22*(A42-Inputs!B21))))</f>
        <v>0.999999999986112</v>
      </c>
      <c r="C42" s="31" t="n">
        <f aca="false">IF(A42-Inputs!B23&lt;1,0,$B$9*IF(Inputs!B22=0,1,1/(1+EXP(-Inputs!B22*(A42-Inputs!B23-Inputs!B21)))))</f>
        <v>1.9999999999245</v>
      </c>
      <c r="D42" s="31" t="n">
        <f aca="true">D41*(1-$B$5)+IF(A42-Inputs!B17&lt;1,0,OFFSET(C42,-Inputs!B17,0)*(1-$B$5)^Inputs!B17)</f>
        <v>34.8341378417627</v>
      </c>
      <c r="E42" s="13" t="n">
        <f aca="false">IF(D42&gt;0,F42/D42,0)</f>
        <v>3078.52125430378</v>
      </c>
      <c r="F42" s="13" t="n">
        <f aca="true">F41*(1-$B$5)*(1+$B$6)+IF(A42-Inputs!B17&lt;1,0,OFFSET(C42,-Inputs!B17,0)*(1-$B$5)^Inputs!B17)*$B$3</f>
        <v>107237.633721214</v>
      </c>
      <c r="G42" s="13" t="n">
        <f aca="false">F42*$B$4</f>
        <v>56299.7577036374</v>
      </c>
      <c r="H42" s="13" t="n">
        <f aca="false">$B$9*B42*$B$7</f>
        <v>349.999999995139</v>
      </c>
      <c r="I42" s="13" t="n">
        <f aca="false">$B$8</f>
        <v>17000</v>
      </c>
      <c r="J42" s="13" t="n">
        <f aca="false">G42-H42-I42</f>
        <v>38949.7577036423</v>
      </c>
      <c r="K42" s="13" t="n">
        <f aca="false">K41+J42</f>
        <v>303629.73168761</v>
      </c>
      <c r="L42" s="13" t="n">
        <f aca="false">MIN(J42:J51)</f>
        <v>38949.7577036423</v>
      </c>
    </row>
    <row r="43" customFormat="false" ht="15" hidden="false" customHeight="false" outlineLevel="0" collapsed="false">
      <c r="A43" s="0" t="n">
        <v>28</v>
      </c>
      <c r="B43" s="20" t="n">
        <f aca="false">IF(Inputs!B22=0,1,1/(1+EXP(-Inputs!B22*(A43-Inputs!B21))))</f>
        <v>0.999999999994891</v>
      </c>
      <c r="C43" s="31" t="n">
        <f aca="false">IF(A43-Inputs!B23&lt;1,0,$B$9*IF(Inputs!B22=0,1,1/(1+EXP(-Inputs!B22*(A43-Inputs!B23-Inputs!B21)))))</f>
        <v>1.99999999997222</v>
      </c>
      <c r="D43" s="31" t="n">
        <f aca="true">D42*(1-$B$5)+IF(A43-Inputs!B17&lt;1,0,OFFSET(C43,-Inputs!B17,0)*(1-$B$5)^Inputs!B17)</f>
        <v>35.789113706482</v>
      </c>
      <c r="E43" s="13" t="n">
        <f aca="false">IF(D43&gt;0,F43/D43,0)</f>
        <v>3090.62444696871</v>
      </c>
      <c r="F43" s="13" t="n">
        <f aca="true">F42*(1-$B$5)*(1+$B$6)+IF(A43-Inputs!B17&lt;1,0,OFFSET(C43,-Inputs!B17,0)*(1-$B$5)^Inputs!B17)*$B$3</f>
        <v>110610.709756596</v>
      </c>
      <c r="G43" s="13" t="n">
        <f aca="false">F43*$B$4</f>
        <v>58070.6226222131</v>
      </c>
      <c r="H43" s="13" t="n">
        <f aca="false">$B$9*B43*$B$7</f>
        <v>349.999999998212</v>
      </c>
      <c r="I43" s="13" t="n">
        <f aca="false">$B$8</f>
        <v>17000</v>
      </c>
      <c r="J43" s="13" t="n">
        <f aca="false">G43-H43-I43</f>
        <v>40720.6226222149</v>
      </c>
      <c r="K43" s="13" t="n">
        <f aca="false">K42+J43</f>
        <v>344350.354309825</v>
      </c>
      <c r="L43" s="13" t="n">
        <f aca="false">MIN(J43:J51)</f>
        <v>40720.6226222149</v>
      </c>
    </row>
    <row r="44" customFormat="false" ht="15" hidden="false" customHeight="false" outlineLevel="0" collapsed="false">
      <c r="A44" s="0" t="n">
        <v>29</v>
      </c>
      <c r="B44" s="20" t="n">
        <f aca="false">IF(Inputs!B22=0,1,1/(1+EXP(-Inputs!B22*(A44-Inputs!B21))))</f>
        <v>0.99999999999812</v>
      </c>
      <c r="C44" s="31" t="n">
        <f aca="false">IF(A44-Inputs!B23&lt;1,0,$B$9*IF(Inputs!B22=0,1,1/(1+EXP(-Inputs!B22*(A44-Inputs!B23-Inputs!B21)))))</f>
        <v>1.99999999998978</v>
      </c>
      <c r="D44" s="31" t="n">
        <f aca="true">D43*(1-$B$5)+IF(A44-Inputs!B17&lt;1,0,OFFSET(C44,-Inputs!B17,0)*(1-$B$5)^Inputs!B17)</f>
        <v>36.7154402952774</v>
      </c>
      <c r="E44" s="13" t="n">
        <f aca="false">IF(D44&gt;0,F44/D44,0)</f>
        <v>3102.65412677516</v>
      </c>
      <c r="F44" s="13" t="n">
        <f aca="true">F43*(1-$B$5)*(1+$B$6)+IF(A44-Inputs!B17&lt;1,0,OFFSET(C44,-Inputs!B17,0)*(1-$B$5)^Inputs!B17)*$B$3</f>
        <v>113915.312348509</v>
      </c>
      <c r="G44" s="13" t="n">
        <f aca="false">F44*$B$4</f>
        <v>59805.5389829673</v>
      </c>
      <c r="H44" s="13" t="n">
        <f aca="false">$B$9*B44*$B$7</f>
        <v>349.999999999342</v>
      </c>
      <c r="I44" s="13" t="n">
        <f aca="false">$B$8</f>
        <v>17000</v>
      </c>
      <c r="J44" s="13" t="n">
        <f aca="false">G44-H44-I44</f>
        <v>42455.538982968</v>
      </c>
      <c r="K44" s="13" t="n">
        <f aca="false">K43+J44</f>
        <v>386805.893292793</v>
      </c>
      <c r="L44" s="13" t="n">
        <f aca="false">MIN(J44:J51)</f>
        <v>42455.538982968</v>
      </c>
    </row>
    <row r="45" customFormat="false" ht="15" hidden="false" customHeight="false" outlineLevel="0" collapsed="false">
      <c r="A45" s="0" t="n">
        <v>30</v>
      </c>
      <c r="B45" s="20" t="n">
        <f aca="false">IF(Inputs!B22=0,1,1/(1+EXP(-Inputs!B22*(A45-Inputs!B21))))</f>
        <v>0.999999999999309</v>
      </c>
      <c r="C45" s="31" t="n">
        <f aca="false">IF(A45-Inputs!B23&lt;1,0,$B$9*IF(Inputs!B22=0,1,1/(1+EXP(-Inputs!B22*(A45-Inputs!B23-Inputs!B21)))))</f>
        <v>1.99999999999624</v>
      </c>
      <c r="D45" s="31" t="n">
        <f aca="true">D44*(1-$B$5)+IF(A45-Inputs!B17&lt;1,0,OFFSET(C45,-Inputs!B17,0)*(1-$B$5)^Inputs!B17)</f>
        <v>37.6139770864153</v>
      </c>
      <c r="E45" s="13" t="n">
        <f aca="false">IF(D45&gt;0,F45/D45,0)</f>
        <v>3114.60899863565</v>
      </c>
      <c r="F45" s="13" t="n">
        <f aca="true">F44*(1-$B$5)*(1+$B$6)+IF(A45-Inputs!B17&lt;1,0,OFFSET(C45,-Inputs!B17,0)*(1-$B$5)^Inputs!B17)*$B$3</f>
        <v>117152.831507824</v>
      </c>
      <c r="G45" s="13" t="n">
        <f aca="false">F45*$B$4</f>
        <v>61505.2365416076</v>
      </c>
      <c r="H45" s="13" t="n">
        <f aca="false">$B$9*B45*$B$7</f>
        <v>349.999999999758</v>
      </c>
      <c r="I45" s="13" t="n">
        <f aca="false">$B$8</f>
        <v>17000</v>
      </c>
      <c r="J45" s="13" t="n">
        <f aca="false">G45-H45-I45</f>
        <v>44155.2365416078</v>
      </c>
      <c r="K45" s="13" t="n">
        <f aca="false">K44+J45</f>
        <v>430961.129834401</v>
      </c>
      <c r="L45" s="13" t="n">
        <f aca="false">MIN(J45:J51)</f>
        <v>44155.2365416078</v>
      </c>
    </row>
    <row r="46" customFormat="false" ht="15" hidden="false" customHeight="false" outlineLevel="0" collapsed="false">
      <c r="A46" s="0" t="n">
        <v>31</v>
      </c>
      <c r="B46" s="20" t="n">
        <f aca="false">IF(Inputs!B22=0,1,1/(1+EXP(-Inputs!B22*(A46-Inputs!B21))))</f>
        <v>0.999999999999746</v>
      </c>
      <c r="C46" s="31" t="n">
        <f aca="false">IF(A46-Inputs!B23&lt;1,0,$B$9*IF(Inputs!B22=0,1,1/(1+EXP(-Inputs!B22*(A46-Inputs!B23-Inputs!B21)))))</f>
        <v>1.99999999999862</v>
      </c>
      <c r="D46" s="31" t="n">
        <f aca="true">D45*(1-$B$5)+IF(A46-Inputs!B17&lt;1,0,OFFSET(C46,-Inputs!B17,0)*(1-$B$5)^Inputs!B17)</f>
        <v>38.4855577738214</v>
      </c>
      <c r="E46" s="13" t="n">
        <f aca="false">IF(D46&gt;0,F46/D46,0)</f>
        <v>3126.487856441</v>
      </c>
      <c r="F46" s="13" t="n">
        <f aca="true">F45*(1-$B$5)*(1+$B$6)+IF(A46-Inputs!B17&lt;1,0,OFFSET(C46,-Inputs!B17,0)*(1-$B$5)^Inputs!B17)*$B$3</f>
        <v>120324.629028211</v>
      </c>
      <c r="G46" s="13" t="n">
        <f aca="false">F46*$B$4</f>
        <v>63170.4302398109</v>
      </c>
      <c r="H46" s="13" t="n">
        <f aca="false">$B$9*B46*$B$7</f>
        <v>349.999999999911</v>
      </c>
      <c r="I46" s="13" t="n">
        <f aca="false">$B$8</f>
        <v>17000</v>
      </c>
      <c r="J46" s="13" t="n">
        <f aca="false">G46-H46-I46</f>
        <v>45820.430239811</v>
      </c>
      <c r="K46" s="13" t="n">
        <f aca="false">K45+J46</f>
        <v>476781.560074212</v>
      </c>
      <c r="L46" s="13" t="n">
        <f aca="false">MIN(J46:J51)</f>
        <v>45820.430239811</v>
      </c>
    </row>
    <row r="47" customFormat="false" ht="15" hidden="false" customHeight="false" outlineLevel="0" collapsed="false">
      <c r="A47" s="0" t="n">
        <v>32</v>
      </c>
      <c r="B47" s="20" t="n">
        <f aca="false">IF(Inputs!B22=0,1,1/(1+EXP(-Inputs!B22*(A47-Inputs!B21))))</f>
        <v>0.999999999999907</v>
      </c>
      <c r="C47" s="31" t="n">
        <f aca="false">IF(A47-Inputs!B23&lt;1,0,$B$9*IF(Inputs!B22=0,1,1/(1+EXP(-Inputs!B22*(A47-Inputs!B23-Inputs!B21)))))</f>
        <v>1.99999999999949</v>
      </c>
      <c r="D47" s="31" t="n">
        <f aca="true">D46*(1-$B$5)+IF(A47-Inputs!B17&lt;1,0,OFFSET(C47,-Inputs!B17,0)*(1-$B$5)^Inputs!B17)</f>
        <v>39.3309910406063</v>
      </c>
      <c r="E47" s="13" t="n">
        <f aca="false">IF(D47&gt;0,F47/D47,0)</f>
        <v>3138.28957250284</v>
      </c>
      <c r="F47" s="13" t="n">
        <f aca="true">F46*(1-$B$5)*(1+$B$6)+IF(A47-Inputs!B17&lt;1,0,OFFSET(C47,-Inputs!B17,0)*(1-$B$5)^Inputs!B17)*$B$3</f>
        <v>123432.039058937</v>
      </c>
      <c r="G47" s="13" t="n">
        <f aca="false">F47*$B$4</f>
        <v>64801.820505942</v>
      </c>
      <c r="H47" s="13" t="n">
        <f aca="false">$B$9*B47*$B$7</f>
        <v>349.999999999967</v>
      </c>
      <c r="I47" s="13" t="n">
        <f aca="false">$B$8</f>
        <v>17000</v>
      </c>
      <c r="J47" s="13" t="n">
        <f aca="false">G47-H47-I47</f>
        <v>47451.8205059421</v>
      </c>
      <c r="K47" s="13" t="n">
        <f aca="false">K46+J47</f>
        <v>524233.380580154</v>
      </c>
      <c r="L47" s="13" t="n">
        <f aca="false">MIN(J47:J51)</f>
        <v>47451.8205059421</v>
      </c>
    </row>
    <row r="48" customFormat="false" ht="15" hidden="false" customHeight="false" outlineLevel="0" collapsed="false">
      <c r="A48" s="0" t="n">
        <v>33</v>
      </c>
      <c r="B48" s="20" t="n">
        <f aca="false">IF(Inputs!B22=0,1,1/(1+EXP(-Inputs!B22*(A48-Inputs!B21))))</f>
        <v>0.999999999999966</v>
      </c>
      <c r="C48" s="31" t="n">
        <f aca="false">IF(A48-Inputs!B23&lt;1,0,$B$9*IF(Inputs!B22=0,1,1/(1+EXP(-Inputs!B22*(A48-Inputs!B23-Inputs!B21)))))</f>
        <v>1.99999999999981</v>
      </c>
      <c r="D48" s="31" t="n">
        <f aca="true">D47*(1-$B$5)+IF(A48-Inputs!B17&lt;1,0,OFFSET(C48,-Inputs!B17,0)*(1-$B$5)^Inputs!B17)</f>
        <v>40.1510613093879</v>
      </c>
      <c r="E48" s="13" t="n">
        <f aca="false">IF(D48&gt;0,F48/D48,0)</f>
        <v>3150.01308910527</v>
      </c>
      <c r="F48" s="13" t="n">
        <f aca="true">F47*(1-$B$5)*(1+$B$6)+IF(A48-Inputs!B17&lt;1,0,OFFSET(C48,-Inputs!B17,0)*(1-$B$5)^Inputs!B17)*$B$3</f>
        <v>126476.36866604</v>
      </c>
      <c r="G48" s="13" t="n">
        <f aca="false">F48*$B$4</f>
        <v>66400.0935496711</v>
      </c>
      <c r="H48" s="13" t="n">
        <f aca="false">$B$9*B48*$B$7</f>
        <v>349.999999999988</v>
      </c>
      <c r="I48" s="13" t="n">
        <f aca="false">$B$8</f>
        <v>17000</v>
      </c>
      <c r="J48" s="13" t="n">
        <f aca="false">G48-H48-I48</f>
        <v>49050.0935496711</v>
      </c>
      <c r="K48" s="13" t="n">
        <f aca="false">K47+J48</f>
        <v>573283.474129825</v>
      </c>
      <c r="L48" s="13" t="n">
        <f aca="false">MIN(J48:J51)</f>
        <v>49050.0935496711</v>
      </c>
    </row>
    <row r="49" customFormat="false" ht="15" hidden="false" customHeight="false" outlineLevel="0" collapsed="false">
      <c r="A49" s="0" t="n">
        <v>34</v>
      </c>
      <c r="B49" s="20" t="n">
        <f aca="false">IF(Inputs!B22=0,1,1/(1+EXP(-Inputs!B22*(A49-Inputs!B21))))</f>
        <v>0.999999999999987</v>
      </c>
      <c r="C49" s="31" t="n">
        <f aca="false">IF(A49-Inputs!B23&lt;1,0,$B$9*IF(Inputs!B22=0,1,1/(1+EXP(-Inputs!B22*(A49-Inputs!B23-Inputs!B21)))))</f>
        <v>1.99999999999993</v>
      </c>
      <c r="D49" s="31" t="n">
        <f aca="true">D48*(1-$B$5)+IF(A49-Inputs!B17&lt;1,0,OFFSET(C49,-Inputs!B17,0)*(1-$B$5)^Inputs!B17)</f>
        <v>40.9465294701062</v>
      </c>
      <c r="E49" s="13" t="n">
        <f aca="false">IF(D49&gt;0,F49/D49,0)</f>
        <v>3161.65741168939</v>
      </c>
      <c r="F49" s="13" t="n">
        <f aca="true">F48*(1-$B$5)*(1+$B$6)+IF(A49-Inputs!B17&lt;1,0,OFFSET(C49,-Inputs!B17,0)*(1-$B$5)^Inputs!B17)*$B$3</f>
        <v>129458.898382119</v>
      </c>
      <c r="G49" s="13" t="n">
        <f aca="false">F49*$B$4</f>
        <v>67965.9216506127</v>
      </c>
      <c r="H49" s="13" t="n">
        <f aca="false">$B$9*B49*$B$7</f>
        <v>349.999999999996</v>
      </c>
      <c r="I49" s="13" t="n">
        <f aca="false">$B$8</f>
        <v>17000</v>
      </c>
      <c r="J49" s="13" t="n">
        <f aca="false">G49-H49-I49</f>
        <v>50615.9216506127</v>
      </c>
      <c r="K49" s="13" t="n">
        <f aca="false">K48+J49</f>
        <v>623899.395780438</v>
      </c>
      <c r="L49" s="13" t="n">
        <f aca="false">MIN(J49:J51)</f>
        <v>50615.9216506127</v>
      </c>
    </row>
    <row r="50" customFormat="false" ht="15" hidden="false" customHeight="false" outlineLevel="0" collapsed="false">
      <c r="A50" s="0" t="n">
        <v>35</v>
      </c>
      <c r="B50" s="20" t="n">
        <f aca="false">IF(Inputs!B22=0,1,1/(1+EXP(-Inputs!B22*(A50-Inputs!B21))))</f>
        <v>0.999999999999995</v>
      </c>
      <c r="C50" s="31" t="n">
        <f aca="false">IF(A50-Inputs!B23&lt;1,0,$B$9*IF(Inputs!B22=0,1,1/(1+EXP(-Inputs!B22*(A50-Inputs!B23-Inputs!B21)))))</f>
        <v>1.99999999999997</v>
      </c>
      <c r="D50" s="31" t="n">
        <f aca="true">D49*(1-$B$5)+IF(A50-Inputs!B17&lt;1,0,OFFSET(C50,-Inputs!B17,0)*(1-$B$5)^Inputs!B17)</f>
        <v>41.718133586003</v>
      </c>
      <c r="E50" s="13" t="n">
        <f aca="false">IF(D50&gt;0,F50/D50,0)</f>
        <v>3173.22160331204</v>
      </c>
      <c r="F50" s="13" t="n">
        <f aca="true">F49*(1-$B$5)*(1+$B$6)+IF(A50-Inputs!B17&lt;1,0,OFFSET(C50,-Inputs!B17,0)*(1-$B$5)^Inputs!B17)*$B$3</f>
        <v>132380.882744962</v>
      </c>
      <c r="G50" s="13" t="n">
        <f aca="false">F50*$B$4</f>
        <v>69499.9634411052</v>
      </c>
      <c r="H50" s="13" t="n">
        <f aca="false">$B$9*B50*$B$7</f>
        <v>349.999999999998</v>
      </c>
      <c r="I50" s="13" t="n">
        <f aca="false">$B$8</f>
        <v>17000</v>
      </c>
      <c r="J50" s="13" t="n">
        <f aca="false">G50-H50-I50</f>
        <v>52149.9634411052</v>
      </c>
      <c r="K50" s="13" t="n">
        <f aca="false">K49+J50</f>
        <v>676049.359221543</v>
      </c>
      <c r="L50" s="13" t="n">
        <f aca="false">MIN(J50:J51)</f>
        <v>52149.9634411052</v>
      </c>
    </row>
    <row r="51" customFormat="false" ht="15" hidden="false" customHeight="false" outlineLevel="0" collapsed="false">
      <c r="A51" s="0" t="n">
        <v>36</v>
      </c>
      <c r="B51" s="20" t="n">
        <f aca="false">IF(Inputs!B22=0,1,1/(1+EXP(-Inputs!B22*(A51-Inputs!B21))))</f>
        <v>0.999999999999998</v>
      </c>
      <c r="C51" s="31" t="n">
        <f aca="false">IF(A51-Inputs!B23&lt;1,0,$B$9*IF(Inputs!B22=0,1,1/(1+EXP(-Inputs!B22*(A51-Inputs!B23-Inputs!B21)))))</f>
        <v>1.99999999999999</v>
      </c>
      <c r="D51" s="31" t="n">
        <f aca="true">D50*(1-$B$5)+IF(A51-Inputs!B17&lt;1,0,OFFSET(C51,-Inputs!B17,0)*(1-$B$5)^Inputs!B17)</f>
        <v>42.4665895784229</v>
      </c>
      <c r="E51" s="13" t="n">
        <f aca="false">IF(D51&gt;0,F51/D51,0)</f>
        <v>3184.70478010686</v>
      </c>
      <c r="F51" s="13" t="n">
        <f aca="true">F50*(1-$B$5)*(1+$B$6)+IF(A51-Inputs!B17&lt;1,0,OFFSET(C51,-Inputs!B17,0)*(1-$B$5)^Inputs!B17)*$B$3</f>
        <v>135243.55082524</v>
      </c>
      <c r="G51" s="13" t="n">
        <f aca="false">F51*$B$4</f>
        <v>71002.8641832508</v>
      </c>
      <c r="H51" s="13" t="n">
        <f aca="false">$B$9*B51*$B$7</f>
        <v>349.999999999999</v>
      </c>
      <c r="I51" s="13" t="n">
        <f aca="false">$B$8</f>
        <v>17000</v>
      </c>
      <c r="J51" s="13" t="n">
        <f aca="false">G51-H51-I51</f>
        <v>53652.8641832508</v>
      </c>
      <c r="K51" s="13" t="n">
        <f aca="false">K50+J51</f>
        <v>729702.223404794</v>
      </c>
      <c r="L51" s="13" t="n">
        <f aca="false">MIN(J51)</f>
        <v>53652.8641832508</v>
      </c>
    </row>
    <row r="53" customFormat="false" ht="15" hidden="false" customHeight="false" outlineLevel="0" collapsed="false">
      <c r="A53" s="12" t="s">
        <v>107</v>
      </c>
      <c r="B53" s="0" t="n">
        <f aca="false">IFERROR(INDEX(A16:A51,MATCH(TRUE(),INDEX(L16:L51&gt;=0,0),0)),"none")</f>
        <v>9</v>
      </c>
    </row>
    <row r="54" customFormat="false" ht="15" hidden="false" customHeight="false" outlineLevel="0" collapsed="false">
      <c r="A54" s="12" t="s">
        <v>19</v>
      </c>
      <c r="B54" s="13" t="n">
        <f aca="false">MAX(0,Inputs!B16,-MIN(K16:K51))</f>
        <v>87833.4655820584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5"/>
  </cols>
  <sheetData>
    <row r="1" customFormat="false" ht="17.35" hidden="false" customHeight="false" outlineLevel="0" collapsed="false">
      <c r="A1" s="1" t="s">
        <v>109</v>
      </c>
    </row>
    <row r="3" customFormat="false" ht="15" hidden="false" customHeight="false" outlineLevel="0" collapsed="false">
      <c r="A3" s="15" t="s">
        <v>90</v>
      </c>
      <c r="B3" s="7" t="n">
        <f aca="false">Inputs!D5</f>
        <v>1850</v>
      </c>
    </row>
    <row r="4" customFormat="false" ht="15" hidden="false" customHeight="false" outlineLevel="0" collapsed="false">
      <c r="A4" s="15" t="s">
        <v>17</v>
      </c>
      <c r="B4" s="10" t="n">
        <f aca="false">Inputs!D6</f>
        <v>0.4</v>
      </c>
    </row>
    <row r="5" customFormat="false" ht="15" hidden="false" customHeight="false" outlineLevel="0" collapsed="false">
      <c r="A5" s="15" t="s">
        <v>62</v>
      </c>
      <c r="B5" s="10" t="n">
        <f aca="false">Inputs!E7</f>
        <v>0.042</v>
      </c>
    </row>
    <row r="6" customFormat="false" ht="15" hidden="false" customHeight="false" outlineLevel="0" collapsed="false">
      <c r="A6" s="15" t="s">
        <v>91</v>
      </c>
      <c r="B6" s="10" t="n">
        <f aca="false">Inputs!D8</f>
        <v>0</v>
      </c>
    </row>
    <row r="7" customFormat="false" ht="15" hidden="false" customHeight="false" outlineLevel="0" collapsed="false">
      <c r="A7" s="15" t="s">
        <v>13</v>
      </c>
      <c r="B7" s="7" t="n">
        <f aca="false">Inputs!E11</f>
        <v>300</v>
      </c>
    </row>
    <row r="8" customFormat="false" ht="15" hidden="false" customHeight="false" outlineLevel="0" collapsed="false">
      <c r="A8" s="15" t="s">
        <v>92</v>
      </c>
      <c r="B8" s="7" t="n">
        <f aca="false">Inputs!B14*Inputs!E10+Inputs!B15</f>
        <v>24000</v>
      </c>
    </row>
    <row r="9" customFormat="false" ht="15" hidden="false" customHeight="false" outlineLevel="0" collapsed="false">
      <c r="A9" s="15" t="s">
        <v>93</v>
      </c>
      <c r="B9" s="27" t="n">
        <f aca="false">Inputs!D9</f>
        <v>1</v>
      </c>
    </row>
    <row r="10" customFormat="false" ht="15" hidden="false" customHeight="false" outlineLevel="0" collapsed="false">
      <c r="A10" s="15" t="s">
        <v>94</v>
      </c>
      <c r="B10" s="28" t="n">
        <f aca="false">B3*B4*(1-B5)^Inputs!B17*IF(ABS(1-(1-B5)*(1+B6))&lt;0.000001,MAX(0,60-Inputs!B17),(1-((1-B5)*(1+B6))^MAX(0,60-Inputs!B17))/(1-(1-B5)*(1+B6)))</f>
        <v>16276.5517004597</v>
      </c>
    </row>
    <row r="11" customFormat="false" ht="15" hidden="false" customHeight="false" outlineLevel="0" collapsed="false">
      <c r="A11" s="15" t="s">
        <v>15</v>
      </c>
      <c r="B11" s="29" t="n">
        <f aca="false">IF(B7&gt;0,B10/B7,"n/a")</f>
        <v>54.2551723348658</v>
      </c>
    </row>
    <row r="12" customFormat="false" ht="15" hidden="false" customHeight="false" outlineLevel="0" collapsed="false">
      <c r="A12" s="15" t="s">
        <v>95</v>
      </c>
      <c r="B12" s="30" t="n">
        <f aca="false">IF(B3*B4&lt;=0,"none",IF(B7&lt;=0,1+Inputs!B17,IF((1-B5)*(1+B6)&lt;=0,IF(B7&lt;=B3*B4*(1-B5)^Inputs!B17,1+Inputs!B17,"none"),IF(ABS(1-(1-B5)*(1+B6))&lt;0.000001,IF(B7/(B3*B4*(1-B5)^Inputs!B17)&lt;=60-Inputs!B17,ROUNDUP(B7/(B3*B4*(1-B5)^Inputs!B17),0)+Inputs!B17,"none"),IF(1-B7*(1-(1-B5)*(1+B6))/(B3*B4*(1-B5)^Inputs!B17)&lt;=0,"none",IF(ROUNDUP(LN(1-B7*(1-(1-B5)*(1+B6))/(B3*B4*(1-B5)^Inputs!B17))/LN((1-B5)*(1+B6)),0)&lt;=60-Inputs!B17,ROUNDUP(LN(1-B7*(1-(1-B5)*(1+B6))/(B3*B4*(1-B5)^Inputs!B17))/LN((1-B5)*(1+B6)),0)+Inputs!B17,"none"))))))</f>
        <v>1</v>
      </c>
    </row>
    <row r="15" customFormat="false" ht="15" hidden="false" customHeight="false" outlineLevel="0" collapsed="false">
      <c r="A15" s="6" t="s">
        <v>24</v>
      </c>
      <c r="B15" s="6" t="s">
        <v>96</v>
      </c>
      <c r="C15" s="6" t="s">
        <v>97</v>
      </c>
      <c r="D15" s="6" t="s">
        <v>98</v>
      </c>
      <c r="E15" s="6" t="s">
        <v>99</v>
      </c>
      <c r="F15" s="6" t="s">
        <v>100</v>
      </c>
      <c r="G15" s="6" t="s">
        <v>101</v>
      </c>
      <c r="H15" s="6" t="s">
        <v>102</v>
      </c>
      <c r="I15" s="6" t="s">
        <v>103</v>
      </c>
      <c r="J15" s="6" t="s">
        <v>104</v>
      </c>
      <c r="K15" s="6" t="s">
        <v>105</v>
      </c>
      <c r="L15" s="6" t="s">
        <v>106</v>
      </c>
    </row>
    <row r="16" customFormat="false" ht="15" hidden="false" customHeight="false" outlineLevel="0" collapsed="false">
      <c r="A16" s="0" t="n">
        <v>1</v>
      </c>
      <c r="B16" s="20" t="n">
        <f aca="false">IF(Inputs!B22=0,1,1/(1+EXP(-Inputs!B22*(A16-Inputs!B21))))</f>
        <v>0.268941421369995</v>
      </c>
      <c r="C16" s="31" t="n">
        <f aca="false">IF(A16-Inputs!B23&lt;1,0,$B$9*IF(Inputs!B22=0,1,1/(1+EXP(-Inputs!B22*(A16-Inputs!B23-Inputs!B21)))))</f>
        <v>0</v>
      </c>
      <c r="D16" s="31" t="n">
        <f aca="true">Inputs!B19*(1-$B$5)+IF(A16-Inputs!B17&lt;1,0,OFFSET(C16,-Inputs!B17,0)*(1-$B$5)^Inputs!B17)</f>
        <v>0</v>
      </c>
      <c r="E16" s="13" t="n">
        <f aca="false">IF(D16&gt;0,F16/D16,0)</f>
        <v>0</v>
      </c>
      <c r="F16" s="13" t="n">
        <f aca="true">Inputs!B20*(1-$B$5)*(1+$B$6)+IF(A16-Inputs!B17&lt;1,0,OFFSET(C16,-Inputs!B17,0)*(1-$B$5)^Inputs!B17)*$B$3</f>
        <v>0</v>
      </c>
      <c r="G16" s="13" t="n">
        <f aca="false">F16*$B$4</f>
        <v>0</v>
      </c>
      <c r="H16" s="13" t="n">
        <f aca="false">$B$9*B16*$B$7</f>
        <v>80.6824264109985</v>
      </c>
      <c r="I16" s="13" t="n">
        <f aca="false">$B$8</f>
        <v>24000</v>
      </c>
      <c r="J16" s="13" t="n">
        <f aca="false">G16-H16-I16</f>
        <v>-24080.682426411</v>
      </c>
      <c r="K16" s="13" t="n">
        <f aca="false">J16-Inputs!B16</f>
        <v>-24080.682426411</v>
      </c>
      <c r="L16" s="13" t="n">
        <f aca="false">MIN(J16:J51)</f>
        <v>-24080.682426411</v>
      </c>
    </row>
    <row r="17" customFormat="false" ht="15" hidden="false" customHeight="false" outlineLevel="0" collapsed="false">
      <c r="A17" s="0" t="n">
        <v>2</v>
      </c>
      <c r="B17" s="20" t="n">
        <f aca="false">IF(Inputs!B22=0,1,1/(1+EXP(-Inputs!B22*(A17-Inputs!B21))))</f>
        <v>0.5</v>
      </c>
      <c r="C17" s="31" t="n">
        <f aca="false">IF(A17-Inputs!B23&lt;1,0,$B$9*IF(Inputs!B22=0,1,1/(1+EXP(-Inputs!B22*(A17-Inputs!B23-Inputs!B21)))))</f>
        <v>0.268941421369995</v>
      </c>
      <c r="D17" s="31" t="n">
        <f aca="true">D16*(1-$B$5)+IF(A17-Inputs!B17&lt;1,0,OFFSET(C17,-Inputs!B17,0)*(1-$B$5)^Inputs!B17)</f>
        <v>0.268941421369995</v>
      </c>
      <c r="E17" s="13" t="n">
        <f aca="false">IF(D17&gt;0,F17/D17,0)</f>
        <v>1850</v>
      </c>
      <c r="F17" s="13" t="n">
        <f aca="true">F16*(1-$B$5)*(1+$B$6)+IF(A17-Inputs!B17&lt;1,0,OFFSET(C17,-Inputs!B17,0)*(1-$B$5)^Inputs!B17)*$B$3</f>
        <v>497.541629534491</v>
      </c>
      <c r="G17" s="13" t="n">
        <f aca="false">F17*$B$4</f>
        <v>199.016651813796</v>
      </c>
      <c r="H17" s="13" t="n">
        <f aca="false">$B$9*B17*$B$7</f>
        <v>150</v>
      </c>
      <c r="I17" s="13" t="n">
        <f aca="false">$B$8</f>
        <v>24000</v>
      </c>
      <c r="J17" s="13" t="n">
        <f aca="false">G17-H17-I17</f>
        <v>-23950.9833481862</v>
      </c>
      <c r="K17" s="13" t="n">
        <f aca="false">K16+J17</f>
        <v>-48031.6657745972</v>
      </c>
      <c r="L17" s="13" t="n">
        <f aca="false">MIN(J17:J51)</f>
        <v>-23950.9833481862</v>
      </c>
    </row>
    <row r="18" customFormat="false" ht="15" hidden="false" customHeight="false" outlineLevel="0" collapsed="false">
      <c r="A18" s="0" t="n">
        <v>3</v>
      </c>
      <c r="B18" s="20" t="n">
        <f aca="false">IF(Inputs!B22=0,1,1/(1+EXP(-Inputs!B22*(A18-Inputs!B21))))</f>
        <v>0.731058578630005</v>
      </c>
      <c r="C18" s="31" t="n">
        <f aca="false">IF(A18-Inputs!B23&lt;1,0,$B$9*IF(Inputs!B22=0,1,1/(1+EXP(-Inputs!B22*(A18-Inputs!B23-Inputs!B21)))))</f>
        <v>0.5</v>
      </c>
      <c r="D18" s="31" t="n">
        <f aca="true">D17*(1-$B$5)+IF(A18-Inputs!B17&lt;1,0,OFFSET(C18,-Inputs!B17,0)*(1-$B$5)^Inputs!B17)</f>
        <v>0.757645881672455</v>
      </c>
      <c r="E18" s="13" t="n">
        <f aca="false">IF(D18&gt;0,F18/D18,0)</f>
        <v>1850</v>
      </c>
      <c r="F18" s="13" t="n">
        <f aca="true">F17*(1-$B$5)*(1+$B$6)+IF(A18-Inputs!B17&lt;1,0,OFFSET(C18,-Inputs!B17,0)*(1-$B$5)^Inputs!B17)*$B$3</f>
        <v>1401.64488109404</v>
      </c>
      <c r="G18" s="13" t="n">
        <f aca="false">F18*$B$4</f>
        <v>560.657952437617</v>
      </c>
      <c r="H18" s="13" t="n">
        <f aca="false">$B$9*B18*$B$7</f>
        <v>219.317573589001</v>
      </c>
      <c r="I18" s="13" t="n">
        <f aca="false">$B$8</f>
        <v>24000</v>
      </c>
      <c r="J18" s="13" t="n">
        <f aca="false">G18-H18-I18</f>
        <v>-23658.6596211514</v>
      </c>
      <c r="K18" s="13" t="n">
        <f aca="false">K17+J18</f>
        <v>-71690.3253957486</v>
      </c>
      <c r="L18" s="13" t="n">
        <f aca="false">MIN(J18:J51)</f>
        <v>-23658.6596211514</v>
      </c>
    </row>
    <row r="19" customFormat="false" ht="15" hidden="false" customHeight="false" outlineLevel="0" collapsed="false">
      <c r="A19" s="0" t="n">
        <v>4</v>
      </c>
      <c r="B19" s="20" t="n">
        <f aca="false">IF(Inputs!B22=0,1,1/(1+EXP(-Inputs!B22*(A19-Inputs!B21))))</f>
        <v>0.880797077977882</v>
      </c>
      <c r="C19" s="31" t="n">
        <f aca="false">IF(A19-Inputs!B23&lt;1,0,$B$9*IF(Inputs!B22=0,1,1/(1+EXP(-Inputs!B22*(A19-Inputs!B23-Inputs!B21)))))</f>
        <v>0.731058578630005</v>
      </c>
      <c r="D19" s="31" t="n">
        <f aca="true">D18*(1-$B$5)+IF(A19-Inputs!B17&lt;1,0,OFFSET(C19,-Inputs!B17,0)*(1-$B$5)^Inputs!B17)</f>
        <v>1.45688333327222</v>
      </c>
      <c r="E19" s="13" t="n">
        <f aca="false">IF(D19&gt;0,F19/D19,0)</f>
        <v>1850</v>
      </c>
      <c r="F19" s="13" t="n">
        <f aca="true">F18*(1-$B$5)*(1+$B$6)+IF(A19-Inputs!B17&lt;1,0,OFFSET(C19,-Inputs!B17,0)*(1-$B$5)^Inputs!B17)*$B$3</f>
        <v>2695.2341665536</v>
      </c>
      <c r="G19" s="13" t="n">
        <f aca="false">F19*$B$4</f>
        <v>1078.09366662144</v>
      </c>
      <c r="H19" s="13" t="n">
        <f aca="false">$B$9*B19*$B$7</f>
        <v>264.239123393365</v>
      </c>
      <c r="I19" s="13" t="n">
        <f aca="false">$B$8</f>
        <v>24000</v>
      </c>
      <c r="J19" s="13" t="n">
        <f aca="false">G19-H19-I19</f>
        <v>-23186.1454567719</v>
      </c>
      <c r="K19" s="13" t="n">
        <f aca="false">K18+J19</f>
        <v>-94876.4708525205</v>
      </c>
      <c r="L19" s="13" t="n">
        <f aca="false">MIN(J19:J51)</f>
        <v>-23186.1454567719</v>
      </c>
    </row>
    <row r="20" customFormat="false" ht="15" hidden="false" customHeight="false" outlineLevel="0" collapsed="false">
      <c r="A20" s="0" t="n">
        <v>5</v>
      </c>
      <c r="B20" s="20" t="n">
        <f aca="false">IF(Inputs!B22=0,1,1/(1+EXP(-Inputs!B22*(A20-Inputs!B21))))</f>
        <v>0.952574126822433</v>
      </c>
      <c r="C20" s="31" t="n">
        <f aca="false">IF(A20-Inputs!B23&lt;1,0,$B$9*IF(Inputs!B22=0,1,1/(1+EXP(-Inputs!B22*(A20-Inputs!B23-Inputs!B21)))))</f>
        <v>0.880797077977882</v>
      </c>
      <c r="D20" s="31" t="n">
        <f aca="true">D19*(1-$B$5)+IF(A20-Inputs!B17&lt;1,0,OFFSET(C20,-Inputs!B17,0)*(1-$B$5)^Inputs!B17)</f>
        <v>2.27649131125267</v>
      </c>
      <c r="E20" s="13" t="n">
        <f aca="false">IF(D20&gt;0,F20/D20,0)</f>
        <v>1850</v>
      </c>
      <c r="F20" s="13" t="n">
        <f aca="true">F19*(1-$B$5)*(1+$B$6)+IF(A20-Inputs!B17&lt;1,0,OFFSET(C20,-Inputs!B17,0)*(1-$B$5)^Inputs!B17)*$B$3</f>
        <v>4211.50892581743</v>
      </c>
      <c r="G20" s="13" t="n">
        <f aca="false">F20*$B$4</f>
        <v>1684.60357032697</v>
      </c>
      <c r="H20" s="13" t="n">
        <f aca="false">$B$9*B20*$B$7</f>
        <v>285.77223804673</v>
      </c>
      <c r="I20" s="13" t="n">
        <f aca="false">$B$8</f>
        <v>24000</v>
      </c>
      <c r="J20" s="13" t="n">
        <f aca="false">G20-H20-I20</f>
        <v>-22601.1686677198</v>
      </c>
      <c r="K20" s="13" t="n">
        <f aca="false">K19+J20</f>
        <v>-117477.63952024</v>
      </c>
      <c r="L20" s="13" t="n">
        <f aca="false">MIN(J20:J51)</f>
        <v>-22601.1686677198</v>
      </c>
    </row>
    <row r="21" customFormat="false" ht="15" hidden="false" customHeight="false" outlineLevel="0" collapsed="false">
      <c r="A21" s="0" t="n">
        <v>6</v>
      </c>
      <c r="B21" s="20" t="n">
        <f aca="false">IF(Inputs!B22=0,1,1/(1+EXP(-Inputs!B22*(A21-Inputs!B21))))</f>
        <v>0.982013790037909</v>
      </c>
      <c r="C21" s="31" t="n">
        <f aca="false">IF(A21-Inputs!B23&lt;1,0,$B$9*IF(Inputs!B22=0,1,1/(1+EXP(-Inputs!B22*(A21-Inputs!B23-Inputs!B21)))))</f>
        <v>0.952574126822433</v>
      </c>
      <c r="D21" s="31" t="n">
        <f aca="true">D20*(1-$B$5)+IF(A21-Inputs!B17&lt;1,0,OFFSET(C21,-Inputs!B17,0)*(1-$B$5)^Inputs!B17)</f>
        <v>3.13345280300249</v>
      </c>
      <c r="E21" s="13" t="n">
        <f aca="false">IF(D21&gt;0,F21/D21,0)</f>
        <v>1850</v>
      </c>
      <c r="F21" s="13" t="n">
        <f aca="true">F20*(1-$B$5)*(1+$B$6)+IF(A21-Inputs!B17&lt;1,0,OFFSET(C21,-Inputs!B17,0)*(1-$B$5)^Inputs!B17)*$B$3</f>
        <v>5796.8876855546</v>
      </c>
      <c r="G21" s="13" t="n">
        <f aca="false">F21*$B$4</f>
        <v>2318.75507422184</v>
      </c>
      <c r="H21" s="13" t="n">
        <f aca="false">$B$9*B21*$B$7</f>
        <v>294.604137011373</v>
      </c>
      <c r="I21" s="13" t="n">
        <f aca="false">$B$8</f>
        <v>24000</v>
      </c>
      <c r="J21" s="13" t="n">
        <f aca="false">G21-H21-I21</f>
        <v>-21975.8490627895</v>
      </c>
      <c r="K21" s="13" t="n">
        <f aca="false">K20+J21</f>
        <v>-139453.48858303</v>
      </c>
      <c r="L21" s="13" t="n">
        <f aca="false">MIN(J21:J51)</f>
        <v>-21975.8490627895</v>
      </c>
    </row>
    <row r="22" customFormat="false" ht="15" hidden="false" customHeight="false" outlineLevel="0" collapsed="false">
      <c r="A22" s="0" t="n">
        <v>7</v>
      </c>
      <c r="B22" s="20" t="n">
        <f aca="false">IF(Inputs!B22=0,1,1/(1+EXP(-Inputs!B22*(A22-Inputs!B21))))</f>
        <v>0.993307149075715</v>
      </c>
      <c r="C22" s="31" t="n">
        <f aca="false">IF(A22-Inputs!B23&lt;1,0,$B$9*IF(Inputs!B22=0,1,1/(1+EXP(-Inputs!B22*(A22-Inputs!B23-Inputs!B21)))))</f>
        <v>0.982013790037909</v>
      </c>
      <c r="D22" s="31" t="n">
        <f aca="true">D21*(1-$B$5)+IF(A22-Inputs!B17&lt;1,0,OFFSET(C22,-Inputs!B17,0)*(1-$B$5)^Inputs!B17)</f>
        <v>3.98386157531429</v>
      </c>
      <c r="E22" s="13" t="n">
        <f aca="false">IF(D22&gt;0,F22/D22,0)</f>
        <v>1850</v>
      </c>
      <c r="F22" s="13" t="n">
        <f aca="true">F21*(1-$B$5)*(1+$B$6)+IF(A22-Inputs!B17&lt;1,0,OFFSET(C22,-Inputs!B17,0)*(1-$B$5)^Inputs!B17)*$B$3</f>
        <v>7370.14391433144</v>
      </c>
      <c r="G22" s="13" t="n">
        <f aca="false">F22*$B$4</f>
        <v>2948.05756573258</v>
      </c>
      <c r="H22" s="13" t="n">
        <f aca="false">$B$9*B22*$B$7</f>
        <v>297.992144722715</v>
      </c>
      <c r="I22" s="13" t="n">
        <f aca="false">$B$8</f>
        <v>24000</v>
      </c>
      <c r="J22" s="13" t="n">
        <f aca="false">G22-H22-I22</f>
        <v>-21349.9345789901</v>
      </c>
      <c r="K22" s="13" t="n">
        <f aca="false">K21+J22</f>
        <v>-160803.42316202</v>
      </c>
      <c r="L22" s="13" t="n">
        <f aca="false">MIN(J22:J51)</f>
        <v>-21349.9345789901</v>
      </c>
    </row>
    <row r="23" customFormat="false" ht="15" hidden="false" customHeight="false" outlineLevel="0" collapsed="false">
      <c r="A23" s="0" t="n">
        <v>8</v>
      </c>
      <c r="B23" s="20" t="n">
        <f aca="false">IF(Inputs!B22=0,1,1/(1+EXP(-Inputs!B22*(A23-Inputs!B21))))</f>
        <v>0.997527376843365</v>
      </c>
      <c r="C23" s="31" t="n">
        <f aca="false">IF(A23-Inputs!B23&lt;1,0,$B$9*IF(Inputs!B22=0,1,1/(1+EXP(-Inputs!B22*(A23-Inputs!B23-Inputs!B21)))))</f>
        <v>0.993307149075715</v>
      </c>
      <c r="D23" s="31" t="n">
        <f aca="true">D22*(1-$B$5)+IF(A23-Inputs!B17&lt;1,0,OFFSET(C23,-Inputs!B17,0)*(1-$B$5)^Inputs!B17)</f>
        <v>4.80984653822681</v>
      </c>
      <c r="E23" s="13" t="n">
        <f aca="false">IF(D23&gt;0,F23/D23,0)</f>
        <v>1850</v>
      </c>
      <c r="F23" s="13" t="n">
        <f aca="true">F22*(1-$B$5)*(1+$B$6)+IF(A23-Inputs!B17&lt;1,0,OFFSET(C23,-Inputs!B17,0)*(1-$B$5)^Inputs!B17)*$B$3</f>
        <v>8898.21609571959</v>
      </c>
      <c r="G23" s="13" t="n">
        <f aca="false">F23*$B$4</f>
        <v>3559.28643828784</v>
      </c>
      <c r="H23" s="13" t="n">
        <f aca="false">$B$9*B23*$B$7</f>
        <v>299.25821305301</v>
      </c>
      <c r="I23" s="13" t="n">
        <f aca="false">$B$8</f>
        <v>24000</v>
      </c>
      <c r="J23" s="13" t="n">
        <f aca="false">G23-H23-I23</f>
        <v>-20739.9717747652</v>
      </c>
      <c r="K23" s="13" t="n">
        <f aca="false">K22+J23</f>
        <v>-181543.394936785</v>
      </c>
      <c r="L23" s="13" t="n">
        <f aca="false">MIN(J23:J51)</f>
        <v>-20739.9717747652</v>
      </c>
    </row>
    <row r="24" customFormat="false" ht="15" hidden="false" customHeight="false" outlineLevel="0" collapsed="false">
      <c r="A24" s="0" t="n">
        <v>9</v>
      </c>
      <c r="B24" s="20" t="n">
        <f aca="false">IF(Inputs!B22=0,1,1/(1+EXP(-Inputs!B22*(A24-Inputs!B21))))</f>
        <v>0.999088948805599</v>
      </c>
      <c r="C24" s="31" t="n">
        <f aca="false">IF(A24-Inputs!B23&lt;1,0,$B$9*IF(Inputs!B22=0,1,1/(1+EXP(-Inputs!B22*(A24-Inputs!B23-Inputs!B21)))))</f>
        <v>0.997527376843365</v>
      </c>
      <c r="D24" s="31" t="n">
        <f aca="true">D23*(1-$B$5)+IF(A24-Inputs!B17&lt;1,0,OFFSET(C24,-Inputs!B17,0)*(1-$B$5)^Inputs!B17)</f>
        <v>5.60536036046465</v>
      </c>
      <c r="E24" s="13" t="n">
        <f aca="false">IF(D24&gt;0,F24/D24,0)</f>
        <v>1850</v>
      </c>
      <c r="F24" s="13" t="n">
        <f aca="true">F23*(1-$B$5)*(1+$B$6)+IF(A24-Inputs!B17&lt;1,0,OFFSET(C24,-Inputs!B17,0)*(1-$B$5)^Inputs!B17)*$B$3</f>
        <v>10369.9166668596</v>
      </c>
      <c r="G24" s="13" t="n">
        <f aca="false">F24*$B$4</f>
        <v>4147.96666674384</v>
      </c>
      <c r="H24" s="13" t="n">
        <f aca="false">$B$9*B24*$B$7</f>
        <v>299.72668464168</v>
      </c>
      <c r="I24" s="13" t="n">
        <f aca="false">$B$8</f>
        <v>24000</v>
      </c>
      <c r="J24" s="13" t="n">
        <f aca="false">G24-H24-I24</f>
        <v>-20151.7600178978</v>
      </c>
      <c r="K24" s="13" t="n">
        <f aca="false">K23+J24</f>
        <v>-201695.154954683</v>
      </c>
      <c r="L24" s="13" t="n">
        <f aca="false">MIN(J24:J51)</f>
        <v>-20151.7600178978</v>
      </c>
    </row>
    <row r="25" customFormat="false" ht="15" hidden="false" customHeight="false" outlineLevel="0" collapsed="false">
      <c r="A25" s="0" t="n">
        <v>10</v>
      </c>
      <c r="B25" s="20" t="n">
        <f aca="false">IF(Inputs!B22=0,1,1/(1+EXP(-Inputs!B22*(A25-Inputs!B21))))</f>
        <v>0.999664649869534</v>
      </c>
      <c r="C25" s="31" t="n">
        <f aca="false">IF(A25-Inputs!B23&lt;1,0,$B$9*IF(Inputs!B22=0,1,1/(1+EXP(-Inputs!B22*(A25-Inputs!B23-Inputs!B21)))))</f>
        <v>0.999088948805599</v>
      </c>
      <c r="D25" s="31" t="n">
        <f aca="true">D24*(1-$B$5)+IF(A25-Inputs!B17&lt;1,0,OFFSET(C25,-Inputs!B17,0)*(1-$B$5)^Inputs!B17)</f>
        <v>6.36902417413073</v>
      </c>
      <c r="E25" s="13" t="n">
        <f aca="false">IF(D25&gt;0,F25/D25,0)</f>
        <v>1850</v>
      </c>
      <c r="F25" s="13" t="n">
        <f aca="true">F24*(1-$B$5)*(1+$B$6)+IF(A25-Inputs!B17&lt;1,0,OFFSET(C25,-Inputs!B17,0)*(1-$B$5)^Inputs!B17)*$B$3</f>
        <v>11782.6947221419</v>
      </c>
      <c r="G25" s="13" t="n">
        <f aca="false">F25*$B$4</f>
        <v>4713.07788885674</v>
      </c>
      <c r="H25" s="13" t="n">
        <f aca="false">$B$9*B25*$B$7</f>
        <v>299.89939496086</v>
      </c>
      <c r="I25" s="13" t="n">
        <f aca="false">$B$8</f>
        <v>24000</v>
      </c>
      <c r="J25" s="13" t="n">
        <f aca="false">G25-H25-I25</f>
        <v>-19586.8215061041</v>
      </c>
      <c r="K25" s="13" t="n">
        <f aca="false">K24+J25</f>
        <v>-221281.976460787</v>
      </c>
      <c r="L25" s="13" t="n">
        <f aca="false">MIN(J25:J51)</f>
        <v>-19586.8215061041</v>
      </c>
    </row>
    <row r="26" customFormat="false" ht="15" hidden="false" customHeight="false" outlineLevel="0" collapsed="false">
      <c r="A26" s="0" t="n">
        <v>11</v>
      </c>
      <c r="B26" s="20" t="n">
        <f aca="false">IF(Inputs!B22=0,1,1/(1+EXP(-Inputs!B22*(A26-Inputs!B21))))</f>
        <v>0.999876605424014</v>
      </c>
      <c r="C26" s="31" t="n">
        <f aca="false">IF(A26-Inputs!B23&lt;1,0,$B$9*IF(Inputs!B22=0,1,1/(1+EXP(-Inputs!B22*(A26-Inputs!B23-Inputs!B21)))))</f>
        <v>0.999664649869534</v>
      </c>
      <c r="D26" s="31" t="n">
        <f aca="true">D25*(1-$B$5)+IF(A26-Inputs!B17&lt;1,0,OFFSET(C26,-Inputs!B17,0)*(1-$B$5)^Inputs!B17)</f>
        <v>7.10118980868677</v>
      </c>
      <c r="E26" s="13" t="n">
        <f aca="false">IF(D26&gt;0,F26/D26,0)</f>
        <v>1850</v>
      </c>
      <c r="F26" s="13" t="n">
        <f aca="true">F25*(1-$B$5)*(1+$B$6)+IF(A26-Inputs!B17&lt;1,0,OFFSET(C26,-Inputs!B17,0)*(1-$B$5)^Inputs!B17)*$B$3</f>
        <v>13137.2011460705</v>
      </c>
      <c r="G26" s="13" t="n">
        <f aca="false">F26*$B$4</f>
        <v>5254.88045842821</v>
      </c>
      <c r="H26" s="13" t="n">
        <f aca="false">$B$9*B26*$B$7</f>
        <v>299.962981627204</v>
      </c>
      <c r="I26" s="13" t="n">
        <f aca="false">$B$8</f>
        <v>24000</v>
      </c>
      <c r="J26" s="13" t="n">
        <f aca="false">G26-H26-I26</f>
        <v>-19045.082523199</v>
      </c>
      <c r="K26" s="13" t="n">
        <f aca="false">K25+J26</f>
        <v>-240327.058983986</v>
      </c>
      <c r="L26" s="13" t="n">
        <f aca="false">MIN(J26:J51)</f>
        <v>-19045.082523199</v>
      </c>
    </row>
    <row r="27" customFormat="false" ht="15" hidden="false" customHeight="false" outlineLevel="0" collapsed="false">
      <c r="A27" s="0" t="n">
        <v>12</v>
      </c>
      <c r="B27" s="20" t="n">
        <f aca="false">IF(Inputs!B22=0,1,1/(1+EXP(-Inputs!B22*(A27-Inputs!B21))))</f>
        <v>0.999954602131298</v>
      </c>
      <c r="C27" s="31" t="n">
        <f aca="false">IF(A27-Inputs!B23&lt;1,0,$B$9*IF(Inputs!B22=0,1,1/(1+EXP(-Inputs!B22*(A27-Inputs!B23-Inputs!B21)))))</f>
        <v>0.999876605424014</v>
      </c>
      <c r="D27" s="31" t="n">
        <f aca="true">D26*(1-$B$5)+IF(A27-Inputs!B17&lt;1,0,OFFSET(C27,-Inputs!B17,0)*(1-$B$5)^Inputs!B17)</f>
        <v>7.80281644214594</v>
      </c>
      <c r="E27" s="13" t="n">
        <f aca="false">IF(D27&gt;0,F27/D27,0)</f>
        <v>1850</v>
      </c>
      <c r="F27" s="13" t="n">
        <f aca="true">F26*(1-$B$5)*(1+$B$6)+IF(A27-Inputs!B17&lt;1,0,OFFSET(C27,-Inputs!B17,0)*(1-$B$5)^Inputs!B17)*$B$3</f>
        <v>14435.21041797</v>
      </c>
      <c r="G27" s="13" t="n">
        <f aca="false">F27*$B$4</f>
        <v>5774.084167188</v>
      </c>
      <c r="H27" s="13" t="n">
        <f aca="false">$B$9*B27*$B$7</f>
        <v>299.986380639389</v>
      </c>
      <c r="I27" s="13" t="n">
        <f aca="false">$B$8</f>
        <v>24000</v>
      </c>
      <c r="J27" s="13" t="n">
        <f aca="false">G27-H27-I27</f>
        <v>-18525.9022134514</v>
      </c>
      <c r="K27" s="13" t="n">
        <f aca="false">K26+J27</f>
        <v>-258852.961197437</v>
      </c>
      <c r="L27" s="13" t="n">
        <f aca="false">MIN(J27:J51)</f>
        <v>-18525.9022134514</v>
      </c>
    </row>
    <row r="28" customFormat="false" ht="15" hidden="false" customHeight="false" outlineLevel="0" collapsed="false">
      <c r="A28" s="0" t="n">
        <v>13</v>
      </c>
      <c r="B28" s="20" t="n">
        <f aca="false">IF(Inputs!B22=0,1,1/(1+EXP(-Inputs!B22*(A28-Inputs!B21))))</f>
        <v>0.999983298578152</v>
      </c>
      <c r="C28" s="31" t="n">
        <f aca="false">IF(A28-Inputs!B23&lt;1,0,$B$9*IF(Inputs!B22=0,1,1/(1+EXP(-Inputs!B22*(A28-Inputs!B23-Inputs!B21)))))</f>
        <v>0.999954602131298</v>
      </c>
      <c r="D28" s="31" t="n">
        <f aca="true">D27*(1-$B$5)+IF(A28-Inputs!B17&lt;1,0,OFFSET(C28,-Inputs!B17,0)*(1-$B$5)^Inputs!B17)</f>
        <v>8.47505275370711</v>
      </c>
      <c r="E28" s="13" t="n">
        <f aca="false">IF(D28&gt;0,F28/D28,0)</f>
        <v>1850</v>
      </c>
      <c r="F28" s="13" t="n">
        <f aca="true">F27*(1-$B$5)*(1+$B$6)+IF(A28-Inputs!B17&lt;1,0,OFFSET(C28,-Inputs!B17,0)*(1-$B$5)^Inputs!B17)*$B$3</f>
        <v>15678.8475943582</v>
      </c>
      <c r="G28" s="13" t="n">
        <f aca="false">F28*$B$4</f>
        <v>6271.53903774326</v>
      </c>
      <c r="H28" s="13" t="n">
        <f aca="false">$B$9*B28*$B$7</f>
        <v>299.994989573446</v>
      </c>
      <c r="I28" s="13" t="n">
        <f aca="false">$B$8</f>
        <v>24000</v>
      </c>
      <c r="J28" s="13" t="n">
        <f aca="false">G28-H28-I28</f>
        <v>-18028.4559518302</v>
      </c>
      <c r="K28" s="13" t="n">
        <f aca="false">K27+J28</f>
        <v>-276881.417149268</v>
      </c>
      <c r="L28" s="13" t="n">
        <f aca="false">MIN(J28:J51)</f>
        <v>-18028.4559518302</v>
      </c>
    </row>
    <row r="29" customFormat="false" ht="15" hidden="false" customHeight="false" outlineLevel="0" collapsed="false">
      <c r="A29" s="0" t="n">
        <v>14</v>
      </c>
      <c r="B29" s="20" t="n">
        <f aca="false">IF(Inputs!B22=0,1,1/(1+EXP(-Inputs!B22*(A29-Inputs!B21))))</f>
        <v>0.999993855825398</v>
      </c>
      <c r="C29" s="31" t="n">
        <f aca="false">IF(A29-Inputs!B23&lt;1,0,$B$9*IF(Inputs!B22=0,1,1/(1+EXP(-Inputs!B22*(A29-Inputs!B23-Inputs!B21)))))</f>
        <v>0.999983298578152</v>
      </c>
      <c r="D29" s="31" t="n">
        <f aca="true">D28*(1-$B$5)+IF(A29-Inputs!B17&lt;1,0,OFFSET(C29,-Inputs!B17,0)*(1-$B$5)^Inputs!B17)</f>
        <v>9.11908383662956</v>
      </c>
      <c r="E29" s="13" t="n">
        <f aca="false">IF(D29&gt;0,F29/D29,0)</f>
        <v>1850</v>
      </c>
      <c r="F29" s="13" t="n">
        <f aca="true">F28*(1-$B$5)*(1+$B$6)+IF(A29-Inputs!B17&lt;1,0,OFFSET(C29,-Inputs!B17,0)*(1-$B$5)^Inputs!B17)*$B$3</f>
        <v>16870.3050977647</v>
      </c>
      <c r="G29" s="13" t="n">
        <f aca="false">F29*$B$4</f>
        <v>6748.12203910588</v>
      </c>
      <c r="H29" s="13" t="n">
        <f aca="false">$B$9*B29*$B$7</f>
        <v>299.998156747619</v>
      </c>
      <c r="I29" s="13" t="n">
        <f aca="false">$B$8</f>
        <v>24000</v>
      </c>
      <c r="J29" s="13" t="n">
        <f aca="false">G29-H29-I29</f>
        <v>-17551.8761176417</v>
      </c>
      <c r="K29" s="13" t="n">
        <f aca="false">K28+J29</f>
        <v>-294433.293266909</v>
      </c>
      <c r="L29" s="13" t="n">
        <f aca="false">MIN(J29:J51)</f>
        <v>-17551.8761176417</v>
      </c>
    </row>
    <row r="30" customFormat="false" ht="15" hidden="false" customHeight="false" outlineLevel="0" collapsed="false">
      <c r="A30" s="0" t="n">
        <v>15</v>
      </c>
      <c r="B30" s="20" t="n">
        <f aca="false">IF(Inputs!B22=0,1,1/(1+EXP(-Inputs!B22*(A30-Inputs!B21))))</f>
        <v>0.999997739675702</v>
      </c>
      <c r="C30" s="31" t="n">
        <f aca="false">IF(A30-Inputs!B23&lt;1,0,$B$9*IF(Inputs!B22=0,1,1/(1+EXP(-Inputs!B22*(A30-Inputs!B23-Inputs!B21)))))</f>
        <v>0.999993855825398</v>
      </c>
      <c r="D30" s="31" t="n">
        <f aca="true">D29*(1-$B$5)+IF(A30-Inputs!B17&lt;1,0,OFFSET(C30,-Inputs!B17,0)*(1-$B$5)^Inputs!B17)</f>
        <v>9.73607617131652</v>
      </c>
      <c r="E30" s="13" t="n">
        <f aca="false">IF(D30&gt;0,F30/D30,0)</f>
        <v>1850</v>
      </c>
      <c r="F30" s="13" t="n">
        <f aca="true">F29*(1-$B$5)*(1+$B$6)+IF(A30-Inputs!B17&lt;1,0,OFFSET(C30,-Inputs!B17,0)*(1-$B$5)^Inputs!B17)*$B$3</f>
        <v>18011.7409169356</v>
      </c>
      <c r="G30" s="13" t="n">
        <f aca="false">F30*$B$4</f>
        <v>7204.69636677422</v>
      </c>
      <c r="H30" s="13" t="n">
        <f aca="false">$B$9*B30*$B$7</f>
        <v>299.999321902711</v>
      </c>
      <c r="I30" s="13" t="n">
        <f aca="false">$B$8</f>
        <v>24000</v>
      </c>
      <c r="J30" s="13" t="n">
        <f aca="false">G30-H30-I30</f>
        <v>-17095.3029551285</v>
      </c>
      <c r="K30" s="13" t="n">
        <f aca="false">K29+J30</f>
        <v>-311528.596222038</v>
      </c>
      <c r="L30" s="13" t="n">
        <f aca="false">MIN(J30:J51)</f>
        <v>-17095.3029551285</v>
      </c>
    </row>
    <row r="31" customFormat="false" ht="15" hidden="false" customHeight="false" outlineLevel="0" collapsed="false">
      <c r="A31" s="0" t="n">
        <v>16</v>
      </c>
      <c r="B31" s="20" t="n">
        <f aca="false">IF(Inputs!B22=0,1,1/(1+EXP(-Inputs!B22*(A31-Inputs!B21))))</f>
        <v>0.999999168471972</v>
      </c>
      <c r="C31" s="31" t="n">
        <f aca="false">IF(A31-Inputs!B23&lt;1,0,$B$9*IF(Inputs!B22=0,1,1/(1+EXP(-Inputs!B22*(A31-Inputs!B23-Inputs!B21)))))</f>
        <v>0.999997739675702</v>
      </c>
      <c r="D31" s="31" t="n">
        <f aca="true">D30*(1-$B$5)+IF(A31-Inputs!B17&lt;1,0,OFFSET(C31,-Inputs!B17,0)*(1-$B$5)^Inputs!B17)</f>
        <v>10.3271587117969</v>
      </c>
      <c r="E31" s="13" t="n">
        <f aca="false">IF(D31&gt;0,F31/D31,0)</f>
        <v>1850</v>
      </c>
      <c r="F31" s="13" t="n">
        <f aca="true">F30*(1-$B$5)*(1+$B$6)+IF(A31-Inputs!B17&lt;1,0,OFFSET(C31,-Inputs!B17,0)*(1-$B$5)^Inputs!B17)*$B$3</f>
        <v>19105.2436168243</v>
      </c>
      <c r="G31" s="13" t="n">
        <f aca="false">F31*$B$4</f>
        <v>7642.09744672973</v>
      </c>
      <c r="H31" s="13" t="n">
        <f aca="false">$B$9*B31*$B$7</f>
        <v>299.999750541592</v>
      </c>
      <c r="I31" s="13" t="n">
        <f aca="false">$B$8</f>
        <v>24000</v>
      </c>
      <c r="J31" s="13" t="n">
        <f aca="false">G31-H31-I31</f>
        <v>-16657.9023038119</v>
      </c>
      <c r="K31" s="13" t="n">
        <f aca="false">K30+J31</f>
        <v>-328186.49852585</v>
      </c>
      <c r="L31" s="13" t="n">
        <f aca="false">MIN(J31:J51)</f>
        <v>-16657.9023038119</v>
      </c>
    </row>
    <row r="32" customFormat="false" ht="15" hidden="false" customHeight="false" outlineLevel="0" collapsed="false">
      <c r="A32" s="0" t="n">
        <v>17</v>
      </c>
      <c r="B32" s="20" t="n">
        <f aca="false">IF(Inputs!B22=0,1,1/(1+EXP(-Inputs!B22*(A32-Inputs!B21))))</f>
        <v>0.999999694097773</v>
      </c>
      <c r="C32" s="31" t="n">
        <f aca="false">IF(A32-Inputs!B23&lt;1,0,$B$9*IF(Inputs!B22=0,1,1/(1+EXP(-Inputs!B22*(A32-Inputs!B23-Inputs!B21)))))</f>
        <v>0.999999168471972</v>
      </c>
      <c r="D32" s="31" t="n">
        <f aca="true">D31*(1-$B$5)+IF(A32-Inputs!B17&lt;1,0,OFFSET(C32,-Inputs!B17,0)*(1-$B$5)^Inputs!B17)</f>
        <v>10.8934172143734</v>
      </c>
      <c r="E32" s="13" t="n">
        <f aca="false">IF(D32&gt;0,F32/D32,0)</f>
        <v>1850</v>
      </c>
      <c r="F32" s="13" t="n">
        <f aca="true">F31*(1-$B$5)*(1+$B$6)+IF(A32-Inputs!B17&lt;1,0,OFFSET(C32,-Inputs!B17,0)*(1-$B$5)^Inputs!B17)*$B$3</f>
        <v>20152.8218465908</v>
      </c>
      <c r="G32" s="13" t="n">
        <f aca="false">F32*$B$4</f>
        <v>8061.12873863634</v>
      </c>
      <c r="H32" s="13" t="n">
        <f aca="false">$B$9*B32*$B$7</f>
        <v>299.999908229332</v>
      </c>
      <c r="I32" s="13" t="n">
        <f aca="false">$B$8</f>
        <v>24000</v>
      </c>
      <c r="J32" s="13" t="n">
        <f aca="false">G32-H32-I32</f>
        <v>-16238.871169593</v>
      </c>
      <c r="K32" s="13" t="n">
        <f aca="false">K31+J32</f>
        <v>-344425.369695443</v>
      </c>
      <c r="L32" s="13" t="n">
        <f aca="false">MIN(J32:J51)</f>
        <v>-16238.871169593</v>
      </c>
    </row>
    <row r="33" customFormat="false" ht="15" hidden="false" customHeight="false" outlineLevel="0" collapsed="false">
      <c r="A33" s="0" t="n">
        <v>18</v>
      </c>
      <c r="B33" s="20" t="n">
        <f aca="false">IF(Inputs!B22=0,1,1/(1+EXP(-Inputs!B22*(A33-Inputs!B21))))</f>
        <v>0.999999887464838</v>
      </c>
      <c r="C33" s="31" t="n">
        <f aca="false">IF(A33-Inputs!B23&lt;1,0,$B$9*IF(Inputs!B22=0,1,1/(1+EXP(-Inputs!B22*(A33-Inputs!B23-Inputs!B21)))))</f>
        <v>0.999999694097773</v>
      </c>
      <c r="D33" s="31" t="n">
        <f aca="true">D32*(1-$B$5)+IF(A33-Inputs!B17&lt;1,0,OFFSET(C33,-Inputs!B17,0)*(1-$B$5)^Inputs!B17)</f>
        <v>11.4358933854675</v>
      </c>
      <c r="E33" s="13" t="n">
        <f aca="false">IF(D33&gt;0,F33/D33,0)</f>
        <v>1850</v>
      </c>
      <c r="F33" s="13" t="n">
        <f aca="true">F32*(1-$B$5)*(1+$B$6)+IF(A33-Inputs!B17&lt;1,0,OFFSET(C33,-Inputs!B17,0)*(1-$B$5)^Inputs!B17)*$B$3</f>
        <v>21156.4027631149</v>
      </c>
      <c r="G33" s="13" t="n">
        <f aca="false">F33*$B$4</f>
        <v>8462.56110524596</v>
      </c>
      <c r="H33" s="13" t="n">
        <f aca="false">$B$9*B33*$B$7</f>
        <v>299.999966239451</v>
      </c>
      <c r="I33" s="13" t="n">
        <f aca="false">$B$8</f>
        <v>24000</v>
      </c>
      <c r="J33" s="13" t="n">
        <f aca="false">G33-H33-I33</f>
        <v>-15837.4388609935</v>
      </c>
      <c r="K33" s="13" t="n">
        <f aca="false">K32+J33</f>
        <v>-360262.808556436</v>
      </c>
      <c r="L33" s="13" t="n">
        <f aca="false">MIN(J33:J51)</f>
        <v>-15837.4388609935</v>
      </c>
    </row>
    <row r="34" customFormat="false" ht="15" hidden="false" customHeight="false" outlineLevel="0" collapsed="false">
      <c r="A34" s="0" t="n">
        <v>19</v>
      </c>
      <c r="B34" s="20" t="n">
        <f aca="false">IF(Inputs!B22=0,1,1/(1+EXP(-Inputs!B22*(A34-Inputs!B21))))</f>
        <v>0.999999958600624</v>
      </c>
      <c r="C34" s="31" t="n">
        <f aca="false">IF(A34-Inputs!B23&lt;1,0,$B$9*IF(Inputs!B22=0,1,1/(1+EXP(-Inputs!B22*(A34-Inputs!B23-Inputs!B21)))))</f>
        <v>0.999999887464838</v>
      </c>
      <c r="D34" s="31" t="n">
        <f aca="true">D33*(1-$B$5)+IF(A34-Inputs!B17&lt;1,0,OFFSET(C34,-Inputs!B17,0)*(1-$B$5)^Inputs!B17)</f>
        <v>11.9555857507427</v>
      </c>
      <c r="E34" s="13" t="n">
        <f aca="false">IF(D34&gt;0,F34/D34,0)</f>
        <v>1850</v>
      </c>
      <c r="F34" s="13" t="n">
        <f aca="true">F33*(1-$B$5)*(1+$B$6)+IF(A34-Inputs!B17&lt;1,0,OFFSET(C34,-Inputs!B17,0)*(1-$B$5)^Inputs!B17)*$B$3</f>
        <v>22117.833638874</v>
      </c>
      <c r="G34" s="13" t="n">
        <f aca="false">F34*$B$4</f>
        <v>8847.13345554961</v>
      </c>
      <c r="H34" s="13" t="n">
        <f aca="false">$B$9*B34*$B$7</f>
        <v>299.999987580187</v>
      </c>
      <c r="I34" s="13" t="n">
        <f aca="false">$B$8</f>
        <v>24000</v>
      </c>
      <c r="J34" s="13" t="n">
        <f aca="false">G34-H34-I34</f>
        <v>-15452.8665320306</v>
      </c>
      <c r="K34" s="13" t="n">
        <f aca="false">K33+J34</f>
        <v>-375715.675088467</v>
      </c>
      <c r="L34" s="13" t="n">
        <f aca="false">MIN(J34:J51)</f>
        <v>-15452.8665320306</v>
      </c>
    </row>
    <row r="35" customFormat="false" ht="15" hidden="false" customHeight="false" outlineLevel="0" collapsed="false">
      <c r="A35" s="0" t="n">
        <v>20</v>
      </c>
      <c r="B35" s="20" t="n">
        <f aca="false">IF(Inputs!B22=0,1,1/(1+EXP(-Inputs!B22*(A35-Inputs!B21))))</f>
        <v>0.999999984770021</v>
      </c>
      <c r="C35" s="31" t="n">
        <f aca="false">IF(A35-Inputs!B23&lt;1,0,$B$9*IF(Inputs!B22=0,1,1/(1+EXP(-Inputs!B22*(A35-Inputs!B23-Inputs!B21)))))</f>
        <v>0.999999958600624</v>
      </c>
      <c r="D35" s="31" t="n">
        <f aca="true">D34*(1-$B$5)+IF(A35-Inputs!B17&lt;1,0,OFFSET(C35,-Inputs!B17,0)*(1-$B$5)^Inputs!B17)</f>
        <v>12.4534511078122</v>
      </c>
      <c r="E35" s="13" t="n">
        <f aca="false">IF(D35&gt;0,F35/D35,0)</f>
        <v>1850</v>
      </c>
      <c r="F35" s="13" t="n">
        <f aca="true">F34*(1-$B$5)*(1+$B$6)+IF(A35-Inputs!B17&lt;1,0,OFFSET(C35,-Inputs!B17,0)*(1-$B$5)^Inputs!B17)*$B$3</f>
        <v>23038.8845494525</v>
      </c>
      <c r="G35" s="13" t="n">
        <f aca="false">F35*$B$4</f>
        <v>9215.55381978099</v>
      </c>
      <c r="H35" s="13" t="n">
        <f aca="false">$B$9*B35*$B$7</f>
        <v>299.999995431006</v>
      </c>
      <c r="I35" s="13" t="n">
        <f aca="false">$B$8</f>
        <v>24000</v>
      </c>
      <c r="J35" s="13" t="n">
        <f aca="false">G35-H35-I35</f>
        <v>-15084.44617565</v>
      </c>
      <c r="K35" s="13" t="n">
        <f aca="false">K34+J35</f>
        <v>-390800.121264117</v>
      </c>
      <c r="L35" s="13" t="n">
        <f aca="false">MIN(J35:J51)</f>
        <v>-15084.44617565</v>
      </c>
    </row>
    <row r="36" customFormat="false" ht="15" hidden="false" customHeight="false" outlineLevel="0" collapsed="false">
      <c r="A36" s="0" t="n">
        <v>21</v>
      </c>
      <c r="B36" s="20" t="n">
        <f aca="false">IF(Inputs!B22=0,1,1/(1+EXP(-Inputs!B22*(A36-Inputs!B21))))</f>
        <v>0.999999994397204</v>
      </c>
      <c r="C36" s="31" t="n">
        <f aca="false">IF(A36-Inputs!B23&lt;1,0,$B$9*IF(Inputs!B22=0,1,1/(1+EXP(-Inputs!B22*(A36-Inputs!B23-Inputs!B21)))))</f>
        <v>0.999999984770021</v>
      </c>
      <c r="D36" s="31" t="n">
        <f aca="true">D35*(1-$B$5)+IF(A36-Inputs!B17&lt;1,0,OFFSET(C36,-Inputs!B17,0)*(1-$B$5)^Inputs!B17)</f>
        <v>12.9304061460541</v>
      </c>
      <c r="E36" s="13" t="n">
        <f aca="false">IF(D36&gt;0,F36/D36,0)</f>
        <v>1850</v>
      </c>
      <c r="F36" s="13" t="n">
        <f aca="true">F35*(1-$B$5)*(1+$B$6)+IF(A36-Inputs!B17&lt;1,0,OFFSET(C36,-Inputs!B17,0)*(1-$B$5)^Inputs!B17)*$B$3</f>
        <v>23921.2513702</v>
      </c>
      <c r="G36" s="13" t="n">
        <f aca="false">F36*$B$4</f>
        <v>9568.50054808001</v>
      </c>
      <c r="H36" s="13" t="n">
        <f aca="false">$B$9*B36*$B$7</f>
        <v>299.999998319161</v>
      </c>
      <c r="I36" s="13" t="n">
        <f aca="false">$B$8</f>
        <v>24000</v>
      </c>
      <c r="J36" s="13" t="n">
        <f aca="false">G36-H36-I36</f>
        <v>-14731.4994502392</v>
      </c>
      <c r="K36" s="13" t="n">
        <f aca="false">K35+J36</f>
        <v>-405531.620714356</v>
      </c>
      <c r="L36" s="13" t="n">
        <f aca="false">MIN(J36:J51)</f>
        <v>-14731.4994502392</v>
      </c>
    </row>
    <row r="37" customFormat="false" ht="15" hidden="false" customHeight="false" outlineLevel="0" collapsed="false">
      <c r="A37" s="0" t="n">
        <v>22</v>
      </c>
      <c r="B37" s="20" t="n">
        <f aca="false">IF(Inputs!B22=0,1,1/(1+EXP(-Inputs!B22*(A37-Inputs!B21))))</f>
        <v>0.999999997938846</v>
      </c>
      <c r="C37" s="31" t="n">
        <f aca="false">IF(A37-Inputs!B23&lt;1,0,$B$9*IF(Inputs!B22=0,1,1/(1+EXP(-Inputs!B22*(A37-Inputs!B23-Inputs!B21)))))</f>
        <v>0.999999994397204</v>
      </c>
      <c r="D37" s="31" t="n">
        <f aca="true">D36*(1-$B$5)+IF(A37-Inputs!B17&lt;1,0,OFFSET(C37,-Inputs!B17,0)*(1-$B$5)^Inputs!B17)</f>
        <v>13.387329082317</v>
      </c>
      <c r="E37" s="13" t="n">
        <f aca="false">IF(D37&gt;0,F37/D37,0)</f>
        <v>1850</v>
      </c>
      <c r="F37" s="13" t="n">
        <f aca="true">F36*(1-$B$5)*(1+$B$6)+IF(A37-Inputs!B17&lt;1,0,OFFSET(C37,-Inputs!B17,0)*(1-$B$5)^Inputs!B17)*$B$3</f>
        <v>24766.5588022864</v>
      </c>
      <c r="G37" s="13" t="n">
        <f aca="false">F37*$B$4</f>
        <v>9906.62352091458</v>
      </c>
      <c r="H37" s="13" t="n">
        <f aca="false">$B$9*B37*$B$7</f>
        <v>299.999999381654</v>
      </c>
      <c r="I37" s="13" t="n">
        <f aca="false">$B$8</f>
        <v>24000</v>
      </c>
      <c r="J37" s="13" t="n">
        <f aca="false">G37-H37-I37</f>
        <v>-14393.3764784671</v>
      </c>
      <c r="K37" s="13" t="n">
        <f aca="false">K36+J37</f>
        <v>-419924.997192823</v>
      </c>
      <c r="L37" s="13" t="n">
        <f aca="false">MIN(J37:J51)</f>
        <v>-14393.3764784671</v>
      </c>
    </row>
    <row r="38" customFormat="false" ht="15" hidden="false" customHeight="false" outlineLevel="0" collapsed="false">
      <c r="A38" s="0" t="n">
        <v>23</v>
      </c>
      <c r="B38" s="20" t="n">
        <f aca="false">IF(Inputs!B22=0,1,1/(1+EXP(-Inputs!B22*(A38-Inputs!B21))))</f>
        <v>0.999999999241744</v>
      </c>
      <c r="C38" s="31" t="n">
        <f aca="false">IF(A38-Inputs!B23&lt;1,0,$B$9*IF(Inputs!B22=0,1,1/(1+EXP(-Inputs!B22*(A38-Inputs!B23-Inputs!B21)))))</f>
        <v>0.999999997938846</v>
      </c>
      <c r="D38" s="31" t="n">
        <f aca="true">D37*(1-$B$5)+IF(A38-Inputs!B17&lt;1,0,OFFSET(C38,-Inputs!B17,0)*(1-$B$5)^Inputs!B17)</f>
        <v>13.8250612587985</v>
      </c>
      <c r="E38" s="13" t="n">
        <f aca="false">IF(D38&gt;0,F38/D38,0)</f>
        <v>1850</v>
      </c>
      <c r="F38" s="13" t="n">
        <f aca="true">F37*(1-$B$5)*(1+$B$6)+IF(A38-Inputs!B17&lt;1,0,OFFSET(C38,-Inputs!B17,0)*(1-$B$5)^Inputs!B17)*$B$3</f>
        <v>25576.3633287773</v>
      </c>
      <c r="G38" s="13" t="n">
        <f aca="false">F38*$B$4</f>
        <v>10230.5453315109</v>
      </c>
      <c r="H38" s="13" t="n">
        <f aca="false">$B$9*B38*$B$7</f>
        <v>299.999999772523</v>
      </c>
      <c r="I38" s="13" t="n">
        <f aca="false">$B$8</f>
        <v>24000</v>
      </c>
      <c r="J38" s="13" t="n">
        <f aca="false">G38-H38-I38</f>
        <v>-14069.4546682616</v>
      </c>
      <c r="K38" s="13" t="n">
        <f aca="false">K37+J38</f>
        <v>-433994.451861085</v>
      </c>
      <c r="L38" s="13" t="n">
        <f aca="false">MIN(J38:J51)</f>
        <v>-14069.4546682616</v>
      </c>
    </row>
    <row r="39" customFormat="false" ht="15" hidden="false" customHeight="false" outlineLevel="0" collapsed="false">
      <c r="A39" s="0" t="n">
        <v>24</v>
      </c>
      <c r="B39" s="20" t="n">
        <f aca="false">IF(Inputs!B22=0,1,1/(1+EXP(-Inputs!B22*(A39-Inputs!B21))))</f>
        <v>0.999999999721053</v>
      </c>
      <c r="C39" s="31" t="n">
        <f aca="false">IF(A39-Inputs!B23&lt;1,0,$B$9*IF(Inputs!B22=0,1,1/(1+EXP(-Inputs!B22*(A39-Inputs!B23-Inputs!B21)))))</f>
        <v>0.999999999241744</v>
      </c>
      <c r="D39" s="31" t="n">
        <f aca="true">D38*(1-$B$5)+IF(A39-Inputs!B17&lt;1,0,OFFSET(C39,-Inputs!B17,0)*(1-$B$5)^Inputs!B17)</f>
        <v>14.2444086851707</v>
      </c>
      <c r="E39" s="13" t="n">
        <f aca="false">IF(D39&gt;0,F39/D39,0)</f>
        <v>1850</v>
      </c>
      <c r="F39" s="13" t="n">
        <f aca="true">F38*(1-$B$5)*(1+$B$6)+IF(A39-Inputs!B17&lt;1,0,OFFSET(C39,-Inputs!B17,0)*(1-$B$5)^Inputs!B17)*$B$3</f>
        <v>26352.1560675659</v>
      </c>
      <c r="G39" s="13" t="n">
        <f aca="false">F39*$B$4</f>
        <v>10540.8624270263</v>
      </c>
      <c r="H39" s="13" t="n">
        <f aca="false">$B$9*B39*$B$7</f>
        <v>299.999999916316</v>
      </c>
      <c r="I39" s="13" t="n">
        <f aca="false">$B$8</f>
        <v>24000</v>
      </c>
      <c r="J39" s="13" t="n">
        <f aca="false">G39-H39-I39</f>
        <v>-13759.13757289</v>
      </c>
      <c r="K39" s="13" t="n">
        <f aca="false">K38+J39</f>
        <v>-447753.589433975</v>
      </c>
      <c r="L39" s="13" t="n">
        <f aca="false">MIN(J39:J51)</f>
        <v>-13759.13757289</v>
      </c>
    </row>
    <row r="40" customFormat="false" ht="15" hidden="false" customHeight="false" outlineLevel="0" collapsed="false">
      <c r="A40" s="0" t="n">
        <v>25</v>
      </c>
      <c r="B40" s="20" t="n">
        <f aca="false">IF(Inputs!B22=0,1,1/(1+EXP(-Inputs!B22*(A40-Inputs!B21))))</f>
        <v>0.999999999897381</v>
      </c>
      <c r="C40" s="31" t="n">
        <f aca="false">IF(A40-Inputs!B23&lt;1,0,$B$9*IF(Inputs!B22=0,1,1/(1+EXP(-Inputs!B22*(A40-Inputs!B23-Inputs!B21)))))</f>
        <v>0.999999999721053</v>
      </c>
      <c r="D40" s="31" t="n">
        <f aca="true">D39*(1-$B$5)+IF(A40-Inputs!B17&lt;1,0,OFFSET(C40,-Inputs!B17,0)*(1-$B$5)^Inputs!B17)</f>
        <v>14.6461435201146</v>
      </c>
      <c r="E40" s="13" t="n">
        <f aca="false">IF(D40&gt;0,F40/D40,0)</f>
        <v>1850</v>
      </c>
      <c r="F40" s="13" t="n">
        <f aca="true">F39*(1-$B$5)*(1+$B$6)+IF(A40-Inputs!B17&lt;1,0,OFFSET(C40,-Inputs!B17,0)*(1-$B$5)^Inputs!B17)*$B$3</f>
        <v>27095.365512212</v>
      </c>
      <c r="G40" s="13" t="n">
        <f aca="false">F40*$B$4</f>
        <v>10838.1462048848</v>
      </c>
      <c r="H40" s="13" t="n">
        <f aca="false">$B$9*B40*$B$7</f>
        <v>299.999999969214</v>
      </c>
      <c r="I40" s="13" t="n">
        <f aca="false">$B$8</f>
        <v>24000</v>
      </c>
      <c r="J40" s="13" t="n">
        <f aca="false">G40-H40-I40</f>
        <v>-13461.8537950844</v>
      </c>
      <c r="K40" s="13" t="n">
        <f aca="false">K39+J40</f>
        <v>-461215.443229059</v>
      </c>
      <c r="L40" s="13" t="n">
        <f aca="false">MIN(J40:J51)</f>
        <v>-13461.8537950844</v>
      </c>
    </row>
    <row r="41" customFormat="false" ht="15" hidden="false" customHeight="false" outlineLevel="0" collapsed="false">
      <c r="A41" s="0" t="n">
        <v>26</v>
      </c>
      <c r="B41" s="20" t="n">
        <f aca="false">IF(Inputs!B22=0,1,1/(1+EXP(-Inputs!B22*(A41-Inputs!B21))))</f>
        <v>0.999999999962249</v>
      </c>
      <c r="C41" s="31" t="n">
        <f aca="false">IF(A41-Inputs!B23&lt;1,0,$B$9*IF(Inputs!B22=0,1,1/(1+EXP(-Inputs!B22*(A41-Inputs!B23-Inputs!B21)))))</f>
        <v>0.999999999897381</v>
      </c>
      <c r="D41" s="31" t="n">
        <f aca="true">D40*(1-$B$5)+IF(A41-Inputs!B17&lt;1,0,OFFSET(C41,-Inputs!B17,0)*(1-$B$5)^Inputs!B17)</f>
        <v>15.0310054921672</v>
      </c>
      <c r="E41" s="13" t="n">
        <f aca="false">IF(D41&gt;0,F41/D41,0)</f>
        <v>1850</v>
      </c>
      <c r="F41" s="13" t="n">
        <f aca="true">F40*(1-$B$5)*(1+$B$6)+IF(A41-Inputs!B17&lt;1,0,OFFSET(C41,-Inputs!B17,0)*(1-$B$5)^Inputs!B17)*$B$3</f>
        <v>27807.3601605093</v>
      </c>
      <c r="G41" s="13" t="n">
        <f aca="false">F41*$B$4</f>
        <v>11122.9440642037</v>
      </c>
      <c r="H41" s="13" t="n">
        <f aca="false">$B$9*B41*$B$7</f>
        <v>299.999999988675</v>
      </c>
      <c r="I41" s="13" t="n">
        <f aca="false">$B$8</f>
        <v>24000</v>
      </c>
      <c r="J41" s="13" t="n">
        <f aca="false">G41-H41-I41</f>
        <v>-13177.055935785</v>
      </c>
      <c r="K41" s="13" t="n">
        <f aca="false">K40+J41</f>
        <v>-474392.499164844</v>
      </c>
      <c r="L41" s="13" t="n">
        <f aca="false">MIN(J41:J51)</f>
        <v>-13177.055935785</v>
      </c>
    </row>
    <row r="42" customFormat="false" ht="15" hidden="false" customHeight="false" outlineLevel="0" collapsed="false">
      <c r="A42" s="0" t="n">
        <v>27</v>
      </c>
      <c r="B42" s="20" t="n">
        <f aca="false">IF(Inputs!B22=0,1,1/(1+EXP(-Inputs!B22*(A42-Inputs!B21))))</f>
        <v>0.999999999986112</v>
      </c>
      <c r="C42" s="31" t="n">
        <f aca="false">IF(A42-Inputs!B23&lt;1,0,$B$9*IF(Inputs!B22=0,1,1/(1+EXP(-Inputs!B22*(A42-Inputs!B23-Inputs!B21)))))</f>
        <v>0.999999999962249</v>
      </c>
      <c r="D42" s="31" t="n">
        <f aca="true">D41*(1-$B$5)+IF(A42-Inputs!B17&lt;1,0,OFFSET(C42,-Inputs!B17,0)*(1-$B$5)^Inputs!B17)</f>
        <v>15.3997032614584</v>
      </c>
      <c r="E42" s="13" t="n">
        <f aca="false">IF(D42&gt;0,F42/D42,0)</f>
        <v>1850</v>
      </c>
      <c r="F42" s="13" t="n">
        <f aca="true">F41*(1-$B$5)*(1+$B$6)+IF(A42-Inputs!B17&lt;1,0,OFFSET(C42,-Inputs!B17,0)*(1-$B$5)^Inputs!B17)*$B$3</f>
        <v>28489.4510336981</v>
      </c>
      <c r="G42" s="13" t="n">
        <f aca="false">F42*$B$4</f>
        <v>11395.7804134792</v>
      </c>
      <c r="H42" s="13" t="n">
        <f aca="false">$B$9*B42*$B$7</f>
        <v>299.999999995834</v>
      </c>
      <c r="I42" s="13" t="n">
        <f aca="false">$B$8</f>
        <v>24000</v>
      </c>
      <c r="J42" s="13" t="n">
        <f aca="false">G42-H42-I42</f>
        <v>-12904.2195865166</v>
      </c>
      <c r="K42" s="13" t="n">
        <f aca="false">K41+J42</f>
        <v>-487296.718751361</v>
      </c>
      <c r="L42" s="13" t="n">
        <f aca="false">MIN(J42:J51)</f>
        <v>-12904.2195865166</v>
      </c>
    </row>
    <row r="43" customFormat="false" ht="15" hidden="false" customHeight="false" outlineLevel="0" collapsed="false">
      <c r="A43" s="0" t="n">
        <v>28</v>
      </c>
      <c r="B43" s="20" t="n">
        <f aca="false">IF(Inputs!B22=0,1,1/(1+EXP(-Inputs!B22*(A43-Inputs!B21))))</f>
        <v>0.999999999994891</v>
      </c>
      <c r="C43" s="31" t="n">
        <f aca="false">IF(A43-Inputs!B23&lt;1,0,$B$9*IF(Inputs!B22=0,1,1/(1+EXP(-Inputs!B22*(A43-Inputs!B23-Inputs!B21)))))</f>
        <v>0.999999999986112</v>
      </c>
      <c r="D43" s="31" t="n">
        <f aca="true">D42*(1-$B$5)+IF(A43-Inputs!B17&lt;1,0,OFFSET(C43,-Inputs!B17,0)*(1-$B$5)^Inputs!B17)</f>
        <v>15.7529157244633</v>
      </c>
      <c r="E43" s="13" t="n">
        <f aca="false">IF(D43&gt;0,F43/D43,0)</f>
        <v>1850</v>
      </c>
      <c r="F43" s="13" t="n">
        <f aca="true">F42*(1-$B$5)*(1+$B$6)+IF(A43-Inputs!B17&lt;1,0,OFFSET(C43,-Inputs!B17,0)*(1-$B$5)^Inputs!B17)*$B$3</f>
        <v>29142.894090257</v>
      </c>
      <c r="G43" s="13" t="n">
        <f aca="false">F43*$B$4</f>
        <v>11657.1576361028</v>
      </c>
      <c r="H43" s="13" t="n">
        <f aca="false">$B$9*B43*$B$7</f>
        <v>299.999999998467</v>
      </c>
      <c r="I43" s="13" t="n">
        <f aca="false">$B$8</f>
        <v>24000</v>
      </c>
      <c r="J43" s="13" t="n">
        <f aca="false">G43-H43-I43</f>
        <v>-12642.8423638956</v>
      </c>
      <c r="K43" s="13" t="n">
        <f aca="false">K42+J43</f>
        <v>-499939.561115256</v>
      </c>
      <c r="L43" s="13" t="n">
        <f aca="false">MIN(J43:J51)</f>
        <v>-12642.8423638956</v>
      </c>
    </row>
    <row r="44" customFormat="false" ht="15" hidden="false" customHeight="false" outlineLevel="0" collapsed="false">
      <c r="A44" s="0" t="n">
        <v>29</v>
      </c>
      <c r="B44" s="20" t="n">
        <f aca="false">IF(Inputs!B22=0,1,1/(1+EXP(-Inputs!B22*(A44-Inputs!B21))))</f>
        <v>0.99999999999812</v>
      </c>
      <c r="C44" s="31" t="n">
        <f aca="false">IF(A44-Inputs!B23&lt;1,0,$B$9*IF(Inputs!B22=0,1,1/(1+EXP(-Inputs!B22*(A44-Inputs!B23-Inputs!B21)))))</f>
        <v>0.999999999994891</v>
      </c>
      <c r="D44" s="31" t="n">
        <f aca="true">D43*(1-$B$5)+IF(A44-Inputs!B17&lt;1,0,OFFSET(C44,-Inputs!B17,0)*(1-$B$5)^Inputs!B17)</f>
        <v>16.0912932640307</v>
      </c>
      <c r="E44" s="13" t="n">
        <f aca="false">IF(D44&gt;0,F44/D44,0)</f>
        <v>1850</v>
      </c>
      <c r="F44" s="13" t="n">
        <f aca="true">F43*(1-$B$5)*(1+$B$6)+IF(A44-Inputs!B17&lt;1,0,OFFSET(C44,-Inputs!B17,0)*(1-$B$5)^Inputs!B17)*$B$3</f>
        <v>29768.8925384568</v>
      </c>
      <c r="G44" s="13" t="n">
        <f aca="false">F44*$B$4</f>
        <v>11907.5570153827</v>
      </c>
      <c r="H44" s="13" t="n">
        <f aca="false">$B$9*B44*$B$7</f>
        <v>299.999999999436</v>
      </c>
      <c r="I44" s="13" t="n">
        <f aca="false">$B$8</f>
        <v>24000</v>
      </c>
      <c r="J44" s="13" t="n">
        <f aca="false">G44-H44-I44</f>
        <v>-12392.4429846167</v>
      </c>
      <c r="K44" s="13" t="n">
        <f aca="false">K43+J44</f>
        <v>-512332.004099873</v>
      </c>
      <c r="L44" s="13" t="n">
        <f aca="false">MIN(J44:J51)</f>
        <v>-12392.4429846167</v>
      </c>
    </row>
    <row r="45" customFormat="false" ht="15" hidden="false" customHeight="false" outlineLevel="0" collapsed="false">
      <c r="A45" s="0" t="n">
        <v>30</v>
      </c>
      <c r="B45" s="20" t="n">
        <f aca="false">IF(Inputs!B22=0,1,1/(1+EXP(-Inputs!B22*(A45-Inputs!B21))))</f>
        <v>0.999999999999309</v>
      </c>
      <c r="C45" s="31" t="n">
        <f aca="false">IF(A45-Inputs!B23&lt;1,0,$B$9*IF(Inputs!B22=0,1,1/(1+EXP(-Inputs!B22*(A45-Inputs!B23-Inputs!B21)))))</f>
        <v>0.99999999999812</v>
      </c>
      <c r="D45" s="31" t="n">
        <f aca="true">D44*(1-$B$5)+IF(A45-Inputs!B17&lt;1,0,OFFSET(C45,-Inputs!B17,0)*(1-$B$5)^Inputs!B17)</f>
        <v>16.4154589469395</v>
      </c>
      <c r="E45" s="13" t="n">
        <f aca="false">IF(D45&gt;0,F45/D45,0)</f>
        <v>1850</v>
      </c>
      <c r="F45" s="13" t="n">
        <f aca="true">F44*(1-$B$5)*(1+$B$6)+IF(A45-Inputs!B17&lt;1,0,OFFSET(C45,-Inputs!B17,0)*(1-$B$5)^Inputs!B17)*$B$3</f>
        <v>30368.5990518381</v>
      </c>
      <c r="G45" s="13" t="n">
        <f aca="false">F45*$B$4</f>
        <v>12147.4396207353</v>
      </c>
      <c r="H45" s="13" t="n">
        <f aca="false">$B$9*B45*$B$7</f>
        <v>299.999999999793</v>
      </c>
      <c r="I45" s="13" t="n">
        <f aca="false">$B$8</f>
        <v>24000</v>
      </c>
      <c r="J45" s="13" t="n">
        <f aca="false">G45-H45-I45</f>
        <v>-12152.5603792645</v>
      </c>
      <c r="K45" s="13" t="n">
        <f aca="false">K44+J45</f>
        <v>-524484.564479138</v>
      </c>
      <c r="L45" s="13" t="n">
        <f aca="false">MIN(J45:J51)</f>
        <v>-12152.5603792645</v>
      </c>
    </row>
    <row r="46" customFormat="false" ht="15" hidden="false" customHeight="false" outlineLevel="0" collapsed="false">
      <c r="A46" s="0" t="n">
        <v>31</v>
      </c>
      <c r="B46" s="20" t="n">
        <f aca="false">IF(Inputs!B22=0,1,1/(1+EXP(-Inputs!B22*(A46-Inputs!B21))))</f>
        <v>0.999999999999746</v>
      </c>
      <c r="C46" s="31" t="n">
        <f aca="false">IF(A46-Inputs!B23&lt;1,0,$B$9*IF(Inputs!B22=0,1,1/(1+EXP(-Inputs!B22*(A46-Inputs!B23-Inputs!B21)))))</f>
        <v>0.999999999999309</v>
      </c>
      <c r="D46" s="31" t="n">
        <f aca="true">D45*(1-$B$5)+IF(A46-Inputs!B17&lt;1,0,OFFSET(C46,-Inputs!B17,0)*(1-$B$5)^Inputs!B17)</f>
        <v>16.7260096711674</v>
      </c>
      <c r="E46" s="13" t="n">
        <f aca="false">IF(D46&gt;0,F46/D46,0)</f>
        <v>1850</v>
      </c>
      <c r="F46" s="13" t="n">
        <f aca="true">F45*(1-$B$5)*(1+$B$6)+IF(A46-Inputs!B17&lt;1,0,OFFSET(C46,-Inputs!B17,0)*(1-$B$5)^Inputs!B17)*$B$3</f>
        <v>30943.1178916596</v>
      </c>
      <c r="G46" s="13" t="n">
        <f aca="false">F46*$B$4</f>
        <v>12377.2471566639</v>
      </c>
      <c r="H46" s="13" t="n">
        <f aca="false">$B$9*B46*$B$7</f>
        <v>299.999999999924</v>
      </c>
      <c r="I46" s="13" t="n">
        <f aca="false">$B$8</f>
        <v>24000</v>
      </c>
      <c r="J46" s="13" t="n">
        <f aca="false">G46-H46-I46</f>
        <v>-11922.7528433361</v>
      </c>
      <c r="K46" s="13" t="n">
        <f aca="false">K45+J46</f>
        <v>-536407.317322474</v>
      </c>
      <c r="L46" s="13" t="n">
        <f aca="false">MIN(J46:J51)</f>
        <v>-11922.7528433361</v>
      </c>
    </row>
    <row r="47" customFormat="false" ht="15" hidden="false" customHeight="false" outlineLevel="0" collapsed="false">
      <c r="A47" s="0" t="n">
        <v>32</v>
      </c>
      <c r="B47" s="20" t="n">
        <f aca="false">IF(Inputs!B22=0,1,1/(1+EXP(-Inputs!B22*(A47-Inputs!B21))))</f>
        <v>0.999999999999907</v>
      </c>
      <c r="C47" s="31" t="n">
        <f aca="false">IF(A47-Inputs!B23&lt;1,0,$B$9*IF(Inputs!B22=0,1,1/(1+EXP(-Inputs!B22*(A47-Inputs!B23-Inputs!B21)))))</f>
        <v>0.999999999999746</v>
      </c>
      <c r="D47" s="31" t="n">
        <f aca="true">D46*(1-$B$5)+IF(A47-Inputs!B17&lt;1,0,OFFSET(C47,-Inputs!B17,0)*(1-$B$5)^Inputs!B17)</f>
        <v>17.0235172649781</v>
      </c>
      <c r="E47" s="13" t="n">
        <f aca="false">IF(D47&gt;0,F47/D47,0)</f>
        <v>1850</v>
      </c>
      <c r="F47" s="13" t="n">
        <f aca="true">F46*(1-$B$5)*(1+$B$6)+IF(A47-Inputs!B17&lt;1,0,OFFSET(C47,-Inputs!B17,0)*(1-$B$5)^Inputs!B17)*$B$3</f>
        <v>31493.5069402095</v>
      </c>
      <c r="G47" s="13" t="n">
        <f aca="false">F47*$B$4</f>
        <v>12597.4027760838</v>
      </c>
      <c r="H47" s="13" t="n">
        <f aca="false">$B$9*B47*$B$7</f>
        <v>299.999999999972</v>
      </c>
      <c r="I47" s="13" t="n">
        <f aca="false">$B$8</f>
        <v>24000</v>
      </c>
      <c r="J47" s="13" t="n">
        <f aca="false">G47-H47-I47</f>
        <v>-11702.5972239162</v>
      </c>
      <c r="K47" s="13" t="n">
        <f aca="false">K46+J47</f>
        <v>-548109.91454639</v>
      </c>
      <c r="L47" s="13" t="n">
        <f aca="false">MIN(J47:J51)</f>
        <v>-11702.5972239162</v>
      </c>
    </row>
    <row r="48" customFormat="false" ht="15" hidden="false" customHeight="false" outlineLevel="0" collapsed="false">
      <c r="A48" s="0" t="n">
        <v>33</v>
      </c>
      <c r="B48" s="20" t="n">
        <f aca="false">IF(Inputs!B22=0,1,1/(1+EXP(-Inputs!B22*(A48-Inputs!B21))))</f>
        <v>0.999999999999966</v>
      </c>
      <c r="C48" s="31" t="n">
        <f aca="false">IF(A48-Inputs!B23&lt;1,0,$B$9*IF(Inputs!B22=0,1,1/(1+EXP(-Inputs!B22*(A48-Inputs!B23-Inputs!B21)))))</f>
        <v>0.999999999999907</v>
      </c>
      <c r="D48" s="31" t="n">
        <f aca="true">D47*(1-$B$5)+IF(A48-Inputs!B17&lt;1,0,OFFSET(C48,-Inputs!B17,0)*(1-$B$5)^Inputs!B17)</f>
        <v>17.3085295398489</v>
      </c>
      <c r="E48" s="13" t="n">
        <f aca="false">IF(D48&gt;0,F48/D48,0)</f>
        <v>1850</v>
      </c>
      <c r="F48" s="13" t="n">
        <f aca="true">F47*(1-$B$5)*(1+$B$6)+IF(A48-Inputs!B17&lt;1,0,OFFSET(C48,-Inputs!B17,0)*(1-$B$5)^Inputs!B17)*$B$3</f>
        <v>32020.7796487205</v>
      </c>
      <c r="G48" s="13" t="n">
        <f aca="false">F48*$B$4</f>
        <v>12808.3118594882</v>
      </c>
      <c r="H48" s="13" t="n">
        <f aca="false">$B$9*B48*$B$7</f>
        <v>299.99999999999</v>
      </c>
      <c r="I48" s="13" t="n">
        <f aca="false">$B$8</f>
        <v>24000</v>
      </c>
      <c r="J48" s="13" t="n">
        <f aca="false">G48-H48-I48</f>
        <v>-11491.6881405118</v>
      </c>
      <c r="K48" s="13" t="n">
        <f aca="false">K47+J48</f>
        <v>-559601.602686902</v>
      </c>
      <c r="L48" s="13" t="n">
        <f aca="false">MIN(J48:J51)</f>
        <v>-11491.6881405118</v>
      </c>
    </row>
    <row r="49" customFormat="false" ht="15" hidden="false" customHeight="false" outlineLevel="0" collapsed="false">
      <c r="A49" s="0" t="n">
        <v>34</v>
      </c>
      <c r="B49" s="20" t="n">
        <f aca="false">IF(Inputs!B22=0,1,1/(1+EXP(-Inputs!B22*(A49-Inputs!B21))))</f>
        <v>0.999999999999987</v>
      </c>
      <c r="C49" s="31" t="n">
        <f aca="false">IF(A49-Inputs!B23&lt;1,0,$B$9*IF(Inputs!B22=0,1,1/(1+EXP(-Inputs!B22*(A49-Inputs!B23-Inputs!B21)))))</f>
        <v>0.999999999999966</v>
      </c>
      <c r="D49" s="31" t="n">
        <f aca="true">D48*(1-$B$5)+IF(A49-Inputs!B17&lt;1,0,OFFSET(C49,-Inputs!B17,0)*(1-$B$5)^Inputs!B17)</f>
        <v>17.5815712991752</v>
      </c>
      <c r="E49" s="13" t="n">
        <f aca="false">IF(D49&gt;0,F49/D49,0)</f>
        <v>1850</v>
      </c>
      <c r="F49" s="13" t="n">
        <f aca="true">F48*(1-$B$5)*(1+$B$6)+IF(A49-Inputs!B17&lt;1,0,OFFSET(C49,-Inputs!B17,0)*(1-$B$5)^Inputs!B17)*$B$3</f>
        <v>32525.9069034742</v>
      </c>
      <c r="G49" s="13" t="n">
        <f aca="false">F49*$B$4</f>
        <v>13010.3627613897</v>
      </c>
      <c r="H49" s="13" t="n">
        <f aca="false">$B$9*B49*$B$7</f>
        <v>299.999999999996</v>
      </c>
      <c r="I49" s="13" t="n">
        <f aca="false">$B$8</f>
        <v>24000</v>
      </c>
      <c r="J49" s="13" t="n">
        <f aca="false">G49-H49-I49</f>
        <v>-11289.6372386103</v>
      </c>
      <c r="K49" s="13" t="n">
        <f aca="false">K48+J49</f>
        <v>-570891.239925512</v>
      </c>
      <c r="L49" s="13" t="n">
        <f aca="false">MIN(J49:J51)</f>
        <v>-11289.6372386103</v>
      </c>
    </row>
    <row r="50" customFormat="false" ht="15" hidden="false" customHeight="false" outlineLevel="0" collapsed="false">
      <c r="A50" s="0" t="n">
        <v>35</v>
      </c>
      <c r="B50" s="20" t="n">
        <f aca="false">IF(Inputs!B22=0,1,1/(1+EXP(-Inputs!B22*(A50-Inputs!B21))))</f>
        <v>0.999999999999995</v>
      </c>
      <c r="C50" s="31" t="n">
        <f aca="false">IF(A50-Inputs!B23&lt;1,0,$B$9*IF(Inputs!B22=0,1,1/(1+EXP(-Inputs!B22*(A50-Inputs!B23-Inputs!B21)))))</f>
        <v>0.999999999999987</v>
      </c>
      <c r="D50" s="31" t="n">
        <f aca="true">D49*(1-$B$5)+IF(A50-Inputs!B17&lt;1,0,OFFSET(C50,-Inputs!B17,0)*(1-$B$5)^Inputs!B17)</f>
        <v>17.8431453046099</v>
      </c>
      <c r="E50" s="13" t="n">
        <f aca="false">IF(D50&gt;0,F50/D50,0)</f>
        <v>1850</v>
      </c>
      <c r="F50" s="13" t="n">
        <f aca="true">F49*(1-$B$5)*(1+$B$6)+IF(A50-Inputs!B17&lt;1,0,OFFSET(C50,-Inputs!B17,0)*(1-$B$5)^Inputs!B17)*$B$3</f>
        <v>33009.8188135282</v>
      </c>
      <c r="G50" s="13" t="n">
        <f aca="false">F50*$B$4</f>
        <v>13203.9275254113</v>
      </c>
      <c r="H50" s="13" t="n">
        <f aca="false">$B$9*B50*$B$7</f>
        <v>299.999999999999</v>
      </c>
      <c r="I50" s="13" t="n">
        <f aca="false">$B$8</f>
        <v>24000</v>
      </c>
      <c r="J50" s="13" t="n">
        <f aca="false">G50-H50-I50</f>
        <v>-11096.0724745887</v>
      </c>
      <c r="K50" s="13" t="n">
        <f aca="false">K49+J50</f>
        <v>-581987.312400101</v>
      </c>
      <c r="L50" s="13" t="n">
        <f aca="false">MIN(J50:J51)</f>
        <v>-11096.0724745887</v>
      </c>
    </row>
    <row r="51" customFormat="false" ht="15" hidden="false" customHeight="false" outlineLevel="0" collapsed="false">
      <c r="A51" s="0" t="n">
        <v>36</v>
      </c>
      <c r="B51" s="20" t="n">
        <f aca="false">IF(Inputs!B22=0,1,1/(1+EXP(-Inputs!B22*(A51-Inputs!B21))))</f>
        <v>0.999999999999998</v>
      </c>
      <c r="C51" s="31" t="n">
        <f aca="false">IF(A51-Inputs!B23&lt;1,0,$B$9*IF(Inputs!B22=0,1,1/(1+EXP(-Inputs!B22*(A51-Inputs!B23-Inputs!B21)))))</f>
        <v>0.999999999999995</v>
      </c>
      <c r="D51" s="31" t="n">
        <f aca="true">D50*(1-$B$5)+IF(A51-Inputs!B17&lt;1,0,OFFSET(C51,-Inputs!B17,0)*(1-$B$5)^Inputs!B17)</f>
        <v>18.0937332018162</v>
      </c>
      <c r="E51" s="13" t="n">
        <f aca="false">IF(D51&gt;0,F51/D51,0)</f>
        <v>1850</v>
      </c>
      <c r="F51" s="13" t="n">
        <f aca="true">F50*(1-$B$5)*(1+$B$6)+IF(A51-Inputs!B17&lt;1,0,OFFSET(C51,-Inputs!B17,0)*(1-$B$5)^Inputs!B17)*$B$3</f>
        <v>33473.40642336</v>
      </c>
      <c r="G51" s="13" t="n">
        <f aca="false">F51*$B$4</f>
        <v>13389.362569344</v>
      </c>
      <c r="H51" s="13" t="n">
        <f aca="false">$B$9*B51*$B$7</f>
        <v>300</v>
      </c>
      <c r="I51" s="13" t="n">
        <f aca="false">$B$8</f>
        <v>24000</v>
      </c>
      <c r="J51" s="13" t="n">
        <f aca="false">G51-H51-I51</f>
        <v>-10910.637430656</v>
      </c>
      <c r="K51" s="13" t="n">
        <f aca="false">K50+J51</f>
        <v>-592897.949830757</v>
      </c>
      <c r="L51" s="13" t="n">
        <f aca="false">MIN(J51)</f>
        <v>-10910.637430656</v>
      </c>
    </row>
    <row r="53" customFormat="false" ht="15" hidden="false" customHeight="false" outlineLevel="0" collapsed="false">
      <c r="A53" s="12" t="s">
        <v>107</v>
      </c>
      <c r="B53" s="0" t="str">
        <f aca="false">IFERROR(INDEX(A16:A51,MATCH(TRUE(),INDEX(L16:L51&gt;=0,0),0)),"none")</f>
        <v>none</v>
      </c>
    </row>
    <row r="54" customFormat="false" ht="15" hidden="false" customHeight="false" outlineLevel="0" collapsed="false">
      <c r="A54" s="12" t="s">
        <v>19</v>
      </c>
      <c r="B54" s="13" t="n">
        <f aca="false">MAX(0,Inputs!B16,-MIN(K16:K51))</f>
        <v>592897.949830757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5"/>
  </cols>
  <sheetData>
    <row r="1" customFormat="false" ht="17.35" hidden="false" customHeight="false" outlineLevel="0" collapsed="false">
      <c r="A1" s="1" t="s">
        <v>110</v>
      </c>
    </row>
    <row r="3" customFormat="false" ht="15" hidden="false" customHeight="false" outlineLevel="0" collapsed="false">
      <c r="A3" s="15" t="s">
        <v>90</v>
      </c>
      <c r="B3" s="7" t="n">
        <f aca="false">Inputs!E5</f>
        <v>3700</v>
      </c>
    </row>
    <row r="4" customFormat="false" ht="15" hidden="false" customHeight="false" outlineLevel="0" collapsed="false">
      <c r="A4" s="15" t="s">
        <v>17</v>
      </c>
      <c r="B4" s="10" t="n">
        <f aca="false">Inputs!E6</f>
        <v>0.65</v>
      </c>
    </row>
    <row r="5" customFormat="false" ht="15" hidden="false" customHeight="false" outlineLevel="0" collapsed="false">
      <c r="A5" s="15" t="s">
        <v>62</v>
      </c>
      <c r="B5" s="10" t="n">
        <f aca="false">Inputs!D7</f>
        <v>0.018</v>
      </c>
    </row>
    <row r="6" customFormat="false" ht="15" hidden="false" customHeight="false" outlineLevel="0" collapsed="false">
      <c r="A6" s="15" t="s">
        <v>91</v>
      </c>
      <c r="B6" s="10" t="n">
        <f aca="false">Inputs!E8</f>
        <v>0.02</v>
      </c>
    </row>
    <row r="7" customFormat="false" ht="15" hidden="false" customHeight="false" outlineLevel="0" collapsed="false">
      <c r="A7" s="15" t="s">
        <v>13</v>
      </c>
      <c r="B7" s="7" t="n">
        <f aca="false">Inputs!D11</f>
        <v>50</v>
      </c>
    </row>
    <row r="8" customFormat="false" ht="15" hidden="false" customHeight="false" outlineLevel="0" collapsed="false">
      <c r="A8" s="15" t="s">
        <v>92</v>
      </c>
      <c r="B8" s="7" t="n">
        <f aca="false">Inputs!B14*Inputs!D10+Inputs!B15</f>
        <v>10000</v>
      </c>
    </row>
    <row r="9" customFormat="false" ht="15" hidden="false" customHeight="false" outlineLevel="0" collapsed="false">
      <c r="A9" s="15" t="s">
        <v>93</v>
      </c>
      <c r="B9" s="27" t="n">
        <f aca="false">Inputs!E9</f>
        <v>3</v>
      </c>
    </row>
    <row r="10" customFormat="false" ht="15" hidden="false" customHeight="false" outlineLevel="0" collapsed="false">
      <c r="A10" s="15" t="s">
        <v>94</v>
      </c>
      <c r="B10" s="28" t="n">
        <f aca="false">B3*B4*(1-B5)^Inputs!B17*IF(ABS(1-(1-B5)*(1+B6))&lt;0.000001,MAX(0,60-Inputs!B17),(1-((1-B5)*(1+B6))^MAX(0,60-Inputs!B17))/(1-(1-B5)*(1+B6)))</f>
        <v>151507.855111787</v>
      </c>
    </row>
    <row r="11" customFormat="false" ht="15" hidden="false" customHeight="false" outlineLevel="0" collapsed="false">
      <c r="A11" s="15" t="s">
        <v>15</v>
      </c>
      <c r="B11" s="29" t="n">
        <f aca="false">IF(B7&gt;0,B10/B7,"n/a")</f>
        <v>3030.15710223575</v>
      </c>
    </row>
    <row r="12" customFormat="false" ht="15" hidden="false" customHeight="false" outlineLevel="0" collapsed="false">
      <c r="A12" s="15" t="s">
        <v>95</v>
      </c>
      <c r="B12" s="30" t="n">
        <f aca="false">IF(B3*B4&lt;=0,"none",IF(B7&lt;=0,1+Inputs!B17,IF((1-B5)*(1+B6)&lt;=0,IF(B7&lt;=B3*B4*(1-B5)^Inputs!B17,1+Inputs!B17,"none"),IF(ABS(1-(1-B5)*(1+B6))&lt;0.000001,IF(B7/(B3*B4*(1-B5)^Inputs!B17)&lt;=60-Inputs!B17,ROUNDUP(B7/(B3*B4*(1-B5)^Inputs!B17),0)+Inputs!B17,"none"),IF(1-B7*(1-(1-B5)*(1+B6))/(B3*B4*(1-B5)^Inputs!B17)&lt;=0,"none",IF(ROUNDUP(LN(1-B7*(1-(1-B5)*(1+B6))/(B3*B4*(1-B5)^Inputs!B17))/LN((1-B5)*(1+B6)),0)&lt;=60-Inputs!B17,ROUNDUP(LN(1-B7*(1-(1-B5)*(1+B6))/(B3*B4*(1-B5)^Inputs!B17))/LN((1-B5)*(1+B6)),0)+Inputs!B17,"none"))))))</f>
        <v>1</v>
      </c>
    </row>
    <row r="15" customFormat="false" ht="15" hidden="false" customHeight="false" outlineLevel="0" collapsed="false">
      <c r="A15" s="6" t="s">
        <v>24</v>
      </c>
      <c r="B15" s="6" t="s">
        <v>96</v>
      </c>
      <c r="C15" s="6" t="s">
        <v>97</v>
      </c>
      <c r="D15" s="6" t="s">
        <v>98</v>
      </c>
      <c r="E15" s="6" t="s">
        <v>99</v>
      </c>
      <c r="F15" s="6" t="s">
        <v>100</v>
      </c>
      <c r="G15" s="6" t="s">
        <v>101</v>
      </c>
      <c r="H15" s="6" t="s">
        <v>102</v>
      </c>
      <c r="I15" s="6" t="s">
        <v>103</v>
      </c>
      <c r="J15" s="6" t="s">
        <v>104</v>
      </c>
      <c r="K15" s="6" t="s">
        <v>105</v>
      </c>
      <c r="L15" s="6" t="s">
        <v>106</v>
      </c>
    </row>
    <row r="16" customFormat="false" ht="15" hidden="false" customHeight="false" outlineLevel="0" collapsed="false">
      <c r="A16" s="0" t="n">
        <v>1</v>
      </c>
      <c r="B16" s="20" t="n">
        <f aca="false">IF(Inputs!B22=0,1,1/(1+EXP(-Inputs!B22*(A16-Inputs!B21))))</f>
        <v>0.268941421369995</v>
      </c>
      <c r="C16" s="31" t="n">
        <f aca="false">IF(A16-Inputs!B23&lt;1,0,$B$9*IF(Inputs!B22=0,1,1/(1+EXP(-Inputs!B22*(A16-Inputs!B23-Inputs!B21)))))</f>
        <v>0</v>
      </c>
      <c r="D16" s="31" t="n">
        <f aca="true">Inputs!B19*(1-$B$5)+IF(A16-Inputs!B17&lt;1,0,OFFSET(C16,-Inputs!B17,0)*(1-$B$5)^Inputs!B17)</f>
        <v>0</v>
      </c>
      <c r="E16" s="13" t="n">
        <f aca="false">IF(D16&gt;0,F16/D16,0)</f>
        <v>0</v>
      </c>
      <c r="F16" s="13" t="n">
        <f aca="true">Inputs!B20*(1-$B$5)*(1+$B$6)+IF(A16-Inputs!B17&lt;1,0,OFFSET(C16,-Inputs!B17,0)*(1-$B$5)^Inputs!B17)*$B$3</f>
        <v>0</v>
      </c>
      <c r="G16" s="13" t="n">
        <f aca="false">F16*$B$4</f>
        <v>0</v>
      </c>
      <c r="H16" s="13" t="n">
        <f aca="false">$B$9*B16*$B$7</f>
        <v>40.3412132054993</v>
      </c>
      <c r="I16" s="13" t="n">
        <f aca="false">$B$8</f>
        <v>10000</v>
      </c>
      <c r="J16" s="13" t="n">
        <f aca="false">G16-H16-I16</f>
        <v>-10040.3412132055</v>
      </c>
      <c r="K16" s="13" t="n">
        <f aca="false">J16-Inputs!B16</f>
        <v>-10040.3412132055</v>
      </c>
      <c r="L16" s="13" t="n">
        <f aca="false">MIN(J16:J51)</f>
        <v>-10040.3412132055</v>
      </c>
    </row>
    <row r="17" customFormat="false" ht="15" hidden="false" customHeight="false" outlineLevel="0" collapsed="false">
      <c r="A17" s="0" t="n">
        <v>2</v>
      </c>
      <c r="B17" s="20" t="n">
        <f aca="false">IF(Inputs!B22=0,1,1/(1+EXP(-Inputs!B22*(A17-Inputs!B21))))</f>
        <v>0.5</v>
      </c>
      <c r="C17" s="31" t="n">
        <f aca="false">IF(A17-Inputs!B23&lt;1,0,$B$9*IF(Inputs!B22=0,1,1/(1+EXP(-Inputs!B22*(A17-Inputs!B23-Inputs!B21)))))</f>
        <v>0.806824264109985</v>
      </c>
      <c r="D17" s="31" t="n">
        <f aca="true">D16*(1-$B$5)+IF(A17-Inputs!B17&lt;1,0,OFFSET(C17,-Inputs!B17,0)*(1-$B$5)^Inputs!B17)</f>
        <v>0.806824264109985</v>
      </c>
      <c r="E17" s="13" t="n">
        <f aca="false">IF(D17&gt;0,F17/D17,0)</f>
        <v>3700</v>
      </c>
      <c r="F17" s="13" t="n">
        <f aca="true">F16*(1-$B$5)*(1+$B$6)+IF(A17-Inputs!B17&lt;1,0,OFFSET(C17,-Inputs!B17,0)*(1-$B$5)^Inputs!B17)*$B$3</f>
        <v>2985.24977720695</v>
      </c>
      <c r="G17" s="13" t="n">
        <f aca="false">F17*$B$4</f>
        <v>1940.41235518451</v>
      </c>
      <c r="H17" s="13" t="n">
        <f aca="false">$B$9*B17*$B$7</f>
        <v>75</v>
      </c>
      <c r="I17" s="13" t="n">
        <f aca="false">$B$8</f>
        <v>10000</v>
      </c>
      <c r="J17" s="13" t="n">
        <f aca="false">G17-H17-I17</f>
        <v>-8134.58764481549</v>
      </c>
      <c r="K17" s="13" t="n">
        <f aca="false">K16+J17</f>
        <v>-18174.928858021</v>
      </c>
      <c r="L17" s="13" t="n">
        <f aca="false">MIN(J17:J51)</f>
        <v>-8134.58764481549</v>
      </c>
    </row>
    <row r="18" customFormat="false" ht="15" hidden="false" customHeight="false" outlineLevel="0" collapsed="false">
      <c r="A18" s="0" t="n">
        <v>3</v>
      </c>
      <c r="B18" s="20" t="n">
        <f aca="false">IF(Inputs!B22=0,1,1/(1+EXP(-Inputs!B22*(A18-Inputs!B21))))</f>
        <v>0.731058578630005</v>
      </c>
      <c r="C18" s="31" t="n">
        <f aca="false">IF(A18-Inputs!B23&lt;1,0,$B$9*IF(Inputs!B22=0,1,1/(1+EXP(-Inputs!B22*(A18-Inputs!B23-Inputs!B21)))))</f>
        <v>1.5</v>
      </c>
      <c r="D18" s="31" t="n">
        <f aca="true">D17*(1-$B$5)+IF(A18-Inputs!B17&lt;1,0,OFFSET(C18,-Inputs!B17,0)*(1-$B$5)^Inputs!B17)</f>
        <v>2.29230142735601</v>
      </c>
      <c r="E18" s="13" t="n">
        <f aca="false">IF(D18&gt;0,F18/D18,0)</f>
        <v>3725.57704886655</v>
      </c>
      <c r="F18" s="13" t="n">
        <f aca="true">F17*(1-$B$5)*(1+$B$6)+IF(A18-Inputs!B17&lt;1,0,OFFSET(C18,-Inputs!B17,0)*(1-$B$5)^Inputs!B17)*$B$3</f>
        <v>8540.14558684157</v>
      </c>
      <c r="G18" s="13" t="n">
        <f aca="false">F18*$B$4</f>
        <v>5551.09463144702</v>
      </c>
      <c r="H18" s="13" t="n">
        <f aca="false">$B$9*B18*$B$7</f>
        <v>109.658786794501</v>
      </c>
      <c r="I18" s="13" t="n">
        <f aca="false">$B$8</f>
        <v>10000</v>
      </c>
      <c r="J18" s="13" t="n">
        <f aca="false">G18-H18-I18</f>
        <v>-4558.56415534748</v>
      </c>
      <c r="K18" s="13" t="n">
        <f aca="false">K17+J18</f>
        <v>-22733.4930133685</v>
      </c>
      <c r="L18" s="13" t="n">
        <f aca="false">MIN(J18:J51)</f>
        <v>-4558.56415534748</v>
      </c>
    </row>
    <row r="19" customFormat="false" ht="15" hidden="false" customHeight="false" outlineLevel="0" collapsed="false">
      <c r="A19" s="0" t="n">
        <v>4</v>
      </c>
      <c r="B19" s="20" t="n">
        <f aca="false">IF(Inputs!B22=0,1,1/(1+EXP(-Inputs!B22*(A19-Inputs!B21))))</f>
        <v>0.880797077977882</v>
      </c>
      <c r="C19" s="31" t="n">
        <f aca="false">IF(A19-Inputs!B23&lt;1,0,$B$9*IF(Inputs!B22=0,1,1/(1+EXP(-Inputs!B22*(A19-Inputs!B23-Inputs!B21)))))</f>
        <v>2.19317573589002</v>
      </c>
      <c r="D19" s="31" t="n">
        <f aca="true">D18*(1-$B$5)+IF(A19-Inputs!B17&lt;1,0,OFFSET(C19,-Inputs!B17,0)*(1-$B$5)^Inputs!B17)</f>
        <v>4.44421573755361</v>
      </c>
      <c r="E19" s="13" t="n">
        <f aca="false">IF(D19&gt;0,F19/D19,0)</f>
        <v>3750.6958781377</v>
      </c>
      <c r="F19" s="13" t="n">
        <f aca="true">F18*(1-$B$5)*(1+$B$6)+IF(A19-Inputs!B17&lt;1,0,OFFSET(C19,-Inputs!B17,0)*(1-$B$5)^Inputs!B17)*$B$3</f>
        <v>16668.901648397</v>
      </c>
      <c r="G19" s="13" t="n">
        <f aca="false">F19*$B$4</f>
        <v>10834.7860714581</v>
      </c>
      <c r="H19" s="13" t="n">
        <f aca="false">$B$9*B19*$B$7</f>
        <v>132.119561696682</v>
      </c>
      <c r="I19" s="13" t="n">
        <f aca="false">$B$8</f>
        <v>10000</v>
      </c>
      <c r="J19" s="13" t="n">
        <f aca="false">G19-H19-I19</f>
        <v>702.666509761395</v>
      </c>
      <c r="K19" s="13" t="n">
        <f aca="false">K18+J19</f>
        <v>-22030.8265036071</v>
      </c>
      <c r="L19" s="13" t="n">
        <f aca="false">MIN(J19:J51)</f>
        <v>702.666509761395</v>
      </c>
    </row>
    <row r="20" customFormat="false" ht="15" hidden="false" customHeight="false" outlineLevel="0" collapsed="false">
      <c r="A20" s="0" t="n">
        <v>5</v>
      </c>
      <c r="B20" s="20" t="n">
        <f aca="false">IF(Inputs!B22=0,1,1/(1+EXP(-Inputs!B22*(A20-Inputs!B21))))</f>
        <v>0.952574126822433</v>
      </c>
      <c r="C20" s="31" t="n">
        <f aca="false">IF(A20-Inputs!B23&lt;1,0,$B$9*IF(Inputs!B22=0,1,1/(1+EXP(-Inputs!B22*(A20-Inputs!B23-Inputs!B21)))))</f>
        <v>2.64239123393365</v>
      </c>
      <c r="D20" s="31" t="n">
        <f aca="true">D19*(1-$B$5)+IF(A20-Inputs!B17&lt;1,0,OFFSET(C20,-Inputs!B17,0)*(1-$B$5)^Inputs!B17)</f>
        <v>7.00661108821129</v>
      </c>
      <c r="E20" s="13" t="n">
        <f aca="false">IF(D20&gt;0,F20/D20,0)</f>
        <v>3778.30107585052</v>
      </c>
      <c r="F20" s="13" t="n">
        <f aca="true">F19*(1-$B$5)*(1+$B$6)+IF(A20-Inputs!B17&lt;1,0,OFFSET(C20,-Inputs!B17,0)*(1-$B$5)^Inputs!B17)*$B$3</f>
        <v>26473.0862126549</v>
      </c>
      <c r="G20" s="13" t="n">
        <f aca="false">F20*$B$4</f>
        <v>17207.5060382257</v>
      </c>
      <c r="H20" s="13" t="n">
        <f aca="false">$B$9*B20*$B$7</f>
        <v>142.886119023365</v>
      </c>
      <c r="I20" s="13" t="n">
        <f aca="false">$B$8</f>
        <v>10000</v>
      </c>
      <c r="J20" s="13" t="n">
        <f aca="false">G20-H20-I20</f>
        <v>7064.61991920232</v>
      </c>
      <c r="K20" s="13" t="n">
        <f aca="false">K19+J20</f>
        <v>-14966.2065844048</v>
      </c>
      <c r="L20" s="13" t="n">
        <f aca="false">MIN(J20:J51)</f>
        <v>7064.61991920232</v>
      </c>
    </row>
    <row r="21" customFormat="false" ht="15" hidden="false" customHeight="false" outlineLevel="0" collapsed="false">
      <c r="A21" s="0" t="n">
        <v>6</v>
      </c>
      <c r="B21" s="20" t="n">
        <f aca="false">IF(Inputs!B22=0,1,1/(1+EXP(-Inputs!B22*(A21-Inputs!B21))))</f>
        <v>0.982013790037909</v>
      </c>
      <c r="C21" s="31" t="n">
        <f aca="false">IF(A21-Inputs!B23&lt;1,0,$B$9*IF(Inputs!B22=0,1,1/(1+EXP(-Inputs!B22*(A21-Inputs!B23-Inputs!B21)))))</f>
        <v>2.8577223804673</v>
      </c>
      <c r="D21" s="31" t="n">
        <f aca="true">D20*(1-$B$5)+IF(A21-Inputs!B17&lt;1,0,OFFSET(C21,-Inputs!B17,0)*(1-$B$5)^Inputs!B17)</f>
        <v>9.73821446909079</v>
      </c>
      <c r="E21" s="13" t="n">
        <f aca="false">IF(D21&gt;0,F21/D21,0)</f>
        <v>3808.714112787</v>
      </c>
      <c r="F21" s="13" t="n">
        <f aca="true">F20*(1-$B$5)*(1+$B$6)+IF(A21-Inputs!B17&lt;1,0,OFFSET(C21,-Inputs!B17,0)*(1-$B$5)^Inputs!B17)*$B$3</f>
        <v>37090.0748817727</v>
      </c>
      <c r="G21" s="13" t="n">
        <f aca="false">F21*$B$4</f>
        <v>24108.5486731522</v>
      </c>
      <c r="H21" s="13" t="n">
        <f aca="false">$B$9*B21*$B$7</f>
        <v>147.302068505686</v>
      </c>
      <c r="I21" s="13" t="n">
        <f aca="false">$B$8</f>
        <v>10000</v>
      </c>
      <c r="J21" s="13" t="n">
        <f aca="false">G21-H21-I21</f>
        <v>13961.2466046465</v>
      </c>
      <c r="K21" s="13" t="n">
        <f aca="false">K20+J21</f>
        <v>-1004.9599797582</v>
      </c>
      <c r="L21" s="13" t="n">
        <f aca="false">MIN(J21:J51)</f>
        <v>13961.2466046465</v>
      </c>
    </row>
    <row r="22" customFormat="false" ht="15" hidden="false" customHeight="false" outlineLevel="0" collapsed="false">
      <c r="A22" s="0" t="n">
        <v>7</v>
      </c>
      <c r="B22" s="20" t="n">
        <f aca="false">IF(Inputs!B22=0,1,1/(1+EXP(-Inputs!B22*(A22-Inputs!B21))))</f>
        <v>0.993307149075715</v>
      </c>
      <c r="C22" s="31" t="n">
        <f aca="false">IF(A22-Inputs!B23&lt;1,0,$B$9*IF(Inputs!B22=0,1,1/(1+EXP(-Inputs!B22*(A22-Inputs!B23-Inputs!B21)))))</f>
        <v>2.94604137011373</v>
      </c>
      <c r="D22" s="31" t="n">
        <f aca="true">D21*(1-$B$5)+IF(A22-Inputs!B17&lt;1,0,OFFSET(C22,-Inputs!B17,0)*(1-$B$5)^Inputs!B17)</f>
        <v>12.5089679787609</v>
      </c>
      <c r="E22" s="13" t="n">
        <f aca="false">IF(D22&gt;0,F22/D22,0)</f>
        <v>3841.34452623001</v>
      </c>
      <c r="F22" s="13" t="n">
        <f aca="true">F21*(1-$B$5)*(1+$B$6)+IF(A22-Inputs!B17&lt;1,0,OFFSET(C22,-Inputs!B17,0)*(1-$B$5)^Inputs!B17)*$B$3</f>
        <v>48051.2556739996</v>
      </c>
      <c r="G22" s="13" t="n">
        <f aca="false">F22*$B$4</f>
        <v>31233.3161880997</v>
      </c>
      <c r="H22" s="13" t="n">
        <f aca="false">$B$9*B22*$B$7</f>
        <v>148.996072361357</v>
      </c>
      <c r="I22" s="13" t="n">
        <f aca="false">$B$8</f>
        <v>10000</v>
      </c>
      <c r="J22" s="13" t="n">
        <f aca="false">G22-H22-I22</f>
        <v>21084.3201157384</v>
      </c>
      <c r="K22" s="13" t="n">
        <f aca="false">K21+J22</f>
        <v>20079.3601359802</v>
      </c>
      <c r="L22" s="13" t="n">
        <f aca="false">MIN(J22:J51)</f>
        <v>21084.3201157384</v>
      </c>
    </row>
    <row r="23" customFormat="false" ht="15" hidden="false" customHeight="false" outlineLevel="0" collapsed="false">
      <c r="A23" s="0" t="n">
        <v>8</v>
      </c>
      <c r="B23" s="20" t="n">
        <f aca="false">IF(Inputs!B22=0,1,1/(1+EXP(-Inputs!B22*(A23-Inputs!B21))))</f>
        <v>0.997527376843365</v>
      </c>
      <c r="C23" s="31" t="n">
        <f aca="false">IF(A23-Inputs!B23&lt;1,0,$B$9*IF(Inputs!B22=0,1,1/(1+EXP(-Inputs!B22*(A23-Inputs!B23-Inputs!B21)))))</f>
        <v>2.97992144722715</v>
      </c>
      <c r="D23" s="31" t="n">
        <f aca="true">D22*(1-$B$5)+IF(A23-Inputs!B17&lt;1,0,OFFSET(C23,-Inputs!B17,0)*(1-$B$5)^Inputs!B17)</f>
        <v>15.2637280023703</v>
      </c>
      <c r="E23" s="13" t="n">
        <f aca="false">IF(D23&gt;0,F23/D23,0)</f>
        <v>3875.57804219644</v>
      </c>
      <c r="F23" s="13" t="n">
        <f aca="true">F22*(1-$B$5)*(1+$B$6)+IF(A23-Inputs!B17&lt;1,0,OFFSET(C23,-Inputs!B17,0)*(1-$B$5)^Inputs!B17)*$B$3</f>
        <v>59155.7690880454</v>
      </c>
      <c r="G23" s="13" t="n">
        <f aca="false">F23*$B$4</f>
        <v>38451.2499072295</v>
      </c>
      <c r="H23" s="13" t="n">
        <f aca="false">$B$9*B23*$B$7</f>
        <v>149.629106526505</v>
      </c>
      <c r="I23" s="13" t="n">
        <f aca="false">$B$8</f>
        <v>10000</v>
      </c>
      <c r="J23" s="13" t="n">
        <f aca="false">G23-H23-I23</f>
        <v>28301.620800703</v>
      </c>
      <c r="K23" s="13" t="n">
        <f aca="false">K22+J23</f>
        <v>48380.9809366831</v>
      </c>
      <c r="L23" s="13" t="n">
        <f aca="false">MIN(J23:J51)</f>
        <v>28301.620800703</v>
      </c>
    </row>
    <row r="24" customFormat="false" ht="15" hidden="false" customHeight="false" outlineLevel="0" collapsed="false">
      <c r="A24" s="0" t="n">
        <v>9</v>
      </c>
      <c r="B24" s="20" t="n">
        <f aca="false">IF(Inputs!B22=0,1,1/(1+EXP(-Inputs!B22*(A24-Inputs!B21))))</f>
        <v>0.999088948805599</v>
      </c>
      <c r="C24" s="31" t="n">
        <f aca="false">IF(A24-Inputs!B23&lt;1,0,$B$9*IF(Inputs!B22=0,1,1/(1+EXP(-Inputs!B22*(A24-Inputs!B23-Inputs!B21)))))</f>
        <v>2.9925821305301</v>
      </c>
      <c r="D24" s="31" t="n">
        <f aca="true">D23*(1-$B$5)+IF(A24-Inputs!B17&lt;1,0,OFFSET(C24,-Inputs!B17,0)*(1-$B$5)^Inputs!B17)</f>
        <v>17.9815630288578</v>
      </c>
      <c r="E24" s="13" t="n">
        <f aca="false">IF(D24&gt;0,F24/D24,0)</f>
        <v>3910.96915876831</v>
      </c>
      <c r="F24" s="13" t="n">
        <f aca="true">F23*(1-$B$5)*(1+$B$6)+IF(A24-Inputs!B17&lt;1,0,OFFSET(C24,-Inputs!B17,0)*(1-$B$5)^Inputs!B17)*$B$3</f>
        <v>70325.3384323111</v>
      </c>
      <c r="G24" s="13" t="n">
        <f aca="false">F24*$B$4</f>
        <v>45711.4699810022</v>
      </c>
      <c r="H24" s="13" t="n">
        <f aca="false">$B$9*B24*$B$7</f>
        <v>149.86334232084</v>
      </c>
      <c r="I24" s="13" t="n">
        <f aca="false">$B$8</f>
        <v>10000</v>
      </c>
      <c r="J24" s="13" t="n">
        <f aca="false">G24-H24-I24</f>
        <v>35561.6066386814</v>
      </c>
      <c r="K24" s="13" t="n">
        <f aca="false">K23+J24</f>
        <v>83942.5875753645</v>
      </c>
      <c r="L24" s="13" t="n">
        <f aca="false">MIN(J24:J51)</f>
        <v>35561.6066386814</v>
      </c>
    </row>
    <row r="25" customFormat="false" ht="15" hidden="false" customHeight="false" outlineLevel="0" collapsed="false">
      <c r="A25" s="0" t="n">
        <v>10</v>
      </c>
      <c r="B25" s="20" t="n">
        <f aca="false">IF(Inputs!B22=0,1,1/(1+EXP(-Inputs!B22*(A25-Inputs!B21))))</f>
        <v>0.999664649869534</v>
      </c>
      <c r="C25" s="31" t="n">
        <f aca="false">IF(A25-Inputs!B23&lt;1,0,$B$9*IF(Inputs!B22=0,1,1/(1+EXP(-Inputs!B22*(A25-Inputs!B23-Inputs!B21)))))</f>
        <v>2.9972668464168</v>
      </c>
      <c r="D25" s="31" t="n">
        <f aca="true">D24*(1-$B$5)+IF(A25-Inputs!B17&lt;1,0,OFFSET(C25,-Inputs!B17,0)*(1-$B$5)^Inputs!B17)</f>
        <v>20.6551617407551</v>
      </c>
      <c r="E25" s="13" t="n">
        <f aca="false">IF(D25&gt;0,F25/D25,0)</f>
        <v>3947.2244440581</v>
      </c>
      <c r="F25" s="13" t="n">
        <f aca="true">F24*(1-$B$5)*(1+$B$6)+IF(A25-Inputs!B17&lt;1,0,OFFSET(C25,-Inputs!B17,0)*(1-$B$5)^Inputs!B17)*$B$3</f>
        <v>81530.5593190822</v>
      </c>
      <c r="G25" s="13" t="n">
        <f aca="false">F25*$B$4</f>
        <v>52994.8635574035</v>
      </c>
      <c r="H25" s="13" t="n">
        <f aca="false">$B$9*B25*$B$7</f>
        <v>149.94969748043</v>
      </c>
      <c r="I25" s="13" t="n">
        <f aca="false">$B$8</f>
        <v>10000</v>
      </c>
      <c r="J25" s="13" t="n">
        <f aca="false">G25-H25-I25</f>
        <v>42844.913859923</v>
      </c>
      <c r="K25" s="13" t="n">
        <f aca="false">K24+J25</f>
        <v>126787.501435288</v>
      </c>
      <c r="L25" s="13" t="n">
        <f aca="false">MIN(J25:J51)</f>
        <v>42844.913859923</v>
      </c>
    </row>
    <row r="26" customFormat="false" ht="15" hidden="false" customHeight="false" outlineLevel="0" collapsed="false">
      <c r="A26" s="0" t="n">
        <v>11</v>
      </c>
      <c r="B26" s="20" t="n">
        <f aca="false">IF(Inputs!B22=0,1,1/(1+EXP(-Inputs!B22*(A26-Inputs!B21))))</f>
        <v>0.999876605424014</v>
      </c>
      <c r="C26" s="31" t="n">
        <f aca="false">IF(A26-Inputs!B23&lt;1,0,$B$9*IF(Inputs!B22=0,1,1/(1+EXP(-Inputs!B22*(A26-Inputs!B23-Inputs!B21)))))</f>
        <v>2.9989939496086</v>
      </c>
      <c r="D26" s="31" t="n">
        <f aca="true">D25*(1-$B$5)+IF(A26-Inputs!B17&lt;1,0,OFFSET(C26,-Inputs!B17,0)*(1-$B$5)^Inputs!B17)</f>
        <v>23.2823627790301</v>
      </c>
      <c r="E26" s="13" t="n">
        <f aca="false">IF(D26&gt;0,F26/D26,0)</f>
        <v>3984.15521355352</v>
      </c>
      <c r="F26" s="13" t="n">
        <f aca="true">F25*(1-$B$5)*(1+$B$6)+IF(A26-Inputs!B17&lt;1,0,OFFSET(C26,-Inputs!B17,0)*(1-$B$5)^Inputs!B17)*$B$3</f>
        <v>92760.5470499174</v>
      </c>
      <c r="G26" s="13" t="n">
        <f aca="false">F26*$B$4</f>
        <v>60294.3555824463</v>
      </c>
      <c r="H26" s="13" t="n">
        <f aca="false">$B$9*B26*$B$7</f>
        <v>149.981490813602</v>
      </c>
      <c r="I26" s="13" t="n">
        <f aca="false">$B$8</f>
        <v>10000</v>
      </c>
      <c r="J26" s="13" t="n">
        <f aca="false">G26-H26-I26</f>
        <v>50144.3740916327</v>
      </c>
      <c r="K26" s="13" t="n">
        <f aca="false">K25+J26</f>
        <v>176931.87552692</v>
      </c>
      <c r="L26" s="13" t="n">
        <f aca="false">MIN(J26:J51)</f>
        <v>50144.3740916327</v>
      </c>
    </row>
    <row r="27" customFormat="false" ht="15" hidden="false" customHeight="false" outlineLevel="0" collapsed="false">
      <c r="A27" s="0" t="n">
        <v>12</v>
      </c>
      <c r="B27" s="20" t="n">
        <f aca="false">IF(Inputs!B22=0,1,1/(1+EXP(-Inputs!B22*(A27-Inputs!B21))))</f>
        <v>0.999954602131298</v>
      </c>
      <c r="C27" s="31" t="n">
        <f aca="false">IF(A27-Inputs!B23&lt;1,0,$B$9*IF(Inputs!B22=0,1,1/(1+EXP(-Inputs!B22*(A27-Inputs!B23-Inputs!B21)))))</f>
        <v>2.99962981627204</v>
      </c>
      <c r="D27" s="31" t="n">
        <f aca="true">D26*(1-$B$5)+IF(A27-Inputs!B17&lt;1,0,OFFSET(C27,-Inputs!B17,0)*(1-$B$5)^Inputs!B17)</f>
        <v>25.8629100652796</v>
      </c>
      <c r="E27" s="13" t="n">
        <f aca="false">IF(D27&gt;0,F27/D27,0)</f>
        <v>4021.63965326232</v>
      </c>
      <c r="F27" s="13" t="n">
        <f aca="true">F26*(1-$B$5)*(1+$B$6)+IF(A27-Inputs!B17&lt;1,0,OFFSET(C27,-Inputs!B17,0)*(1-$B$5)^Inputs!B17)*$B$3</f>
        <v>104011.304667286</v>
      </c>
      <c r="G27" s="13" t="n">
        <f aca="false">F27*$B$4</f>
        <v>67607.3480337358</v>
      </c>
      <c r="H27" s="13" t="n">
        <f aca="false">$B$9*B27*$B$7</f>
        <v>149.993190319695</v>
      </c>
      <c r="I27" s="13" t="n">
        <f aca="false">$B$8</f>
        <v>10000</v>
      </c>
      <c r="J27" s="13" t="n">
        <f aca="false">G27-H27-I27</f>
        <v>57457.3548434161</v>
      </c>
      <c r="K27" s="13" t="n">
        <f aca="false">K26+J27</f>
        <v>234389.230370336</v>
      </c>
      <c r="L27" s="13" t="n">
        <f aca="false">MIN(J27:J51)</f>
        <v>57457.3548434161</v>
      </c>
    </row>
    <row r="28" customFormat="false" ht="15" hidden="false" customHeight="false" outlineLevel="0" collapsed="false">
      <c r="A28" s="0" t="n">
        <v>13</v>
      </c>
      <c r="B28" s="20" t="n">
        <f aca="false">IF(Inputs!B22=0,1,1/(1+EXP(-Inputs!B22*(A28-Inputs!B21))))</f>
        <v>0.999983298578152</v>
      </c>
      <c r="C28" s="31" t="n">
        <f aca="false">IF(A28-Inputs!B23&lt;1,0,$B$9*IF(Inputs!B22=0,1,1/(1+EXP(-Inputs!B22*(A28-Inputs!B23-Inputs!B21)))))</f>
        <v>2.99986380639389</v>
      </c>
      <c r="D28" s="31" t="n">
        <f aca="true">D27*(1-$B$5)+IF(A28-Inputs!B17&lt;1,0,OFFSET(C28,-Inputs!B17,0)*(1-$B$5)^Inputs!B17)</f>
        <v>28.3972414904985</v>
      </c>
      <c r="E28" s="13" t="n">
        <f aca="false">IF(D28&gt;0,F28/D28,0)</f>
        <v>4059.59780738456</v>
      </c>
      <c r="F28" s="13" t="n">
        <f aca="true">F27*(1-$B$5)*(1+$B$6)+IF(A28-Inputs!B17&lt;1,0,OFFSET(C28,-Inputs!B17,0)*(1-$B$5)^Inputs!B17)*$B$3</f>
        <v>115281.379290598</v>
      </c>
      <c r="G28" s="13" t="n">
        <f aca="false">F28*$B$4</f>
        <v>74932.8965388884</v>
      </c>
      <c r="H28" s="13" t="n">
        <f aca="false">$B$9*B28*$B$7</f>
        <v>149.997494786723</v>
      </c>
      <c r="I28" s="13" t="n">
        <f aca="false">$B$8</f>
        <v>10000</v>
      </c>
      <c r="J28" s="13" t="n">
        <f aca="false">G28-H28-I28</f>
        <v>64782.8990441017</v>
      </c>
      <c r="K28" s="13" t="n">
        <f aca="false">K27+J28</f>
        <v>299172.129414438</v>
      </c>
      <c r="L28" s="13" t="n">
        <f aca="false">MIN(J28:J51)</f>
        <v>64782.8990441017</v>
      </c>
    </row>
    <row r="29" customFormat="false" ht="15" hidden="false" customHeight="false" outlineLevel="0" collapsed="false">
      <c r="A29" s="0" t="n">
        <v>14</v>
      </c>
      <c r="B29" s="20" t="n">
        <f aca="false">IF(Inputs!B22=0,1,1/(1+EXP(-Inputs!B22*(A29-Inputs!B21))))</f>
        <v>0.999993855825398</v>
      </c>
      <c r="C29" s="31" t="n">
        <f aca="false">IF(A29-Inputs!B23&lt;1,0,$B$9*IF(Inputs!B22=0,1,1/(1+EXP(-Inputs!B22*(A29-Inputs!B23-Inputs!B21)))))</f>
        <v>2.99994989573446</v>
      </c>
      <c r="D29" s="31" t="n">
        <f aca="true">D28*(1-$B$5)+IF(A29-Inputs!B17&lt;1,0,OFFSET(C29,-Inputs!B17,0)*(1-$B$5)^Inputs!B17)</f>
        <v>30.886041039404</v>
      </c>
      <c r="E29" s="13" t="n">
        <f aca="false">IF(D29&gt;0,F29/D29,0)</f>
        <v>4097.97601464607</v>
      </c>
      <c r="F29" s="13" t="n">
        <f aca="true">F28*(1-$B$5)*(1+$B$6)+IF(A29-Inputs!B17&lt;1,0,OFFSET(C29,-Inputs!B17,0)*(1-$B$5)^Inputs!B17)*$B$3</f>
        <v>126570.255366852</v>
      </c>
      <c r="G29" s="13" t="n">
        <f aca="false">F29*$B$4</f>
        <v>82270.6659884536</v>
      </c>
      <c r="H29" s="13" t="n">
        <f aca="false">$B$9*B29*$B$7</f>
        <v>149.99907837381</v>
      </c>
      <c r="I29" s="13" t="n">
        <f aca="false">$B$8</f>
        <v>10000</v>
      </c>
      <c r="J29" s="13" t="n">
        <f aca="false">G29-H29-I29</f>
        <v>72120.6669100797</v>
      </c>
      <c r="K29" s="13" t="n">
        <f aca="false">K28+J29</f>
        <v>371292.796324518</v>
      </c>
      <c r="L29" s="13" t="n">
        <f aca="false">MIN(J29:J51)</f>
        <v>72120.6669100797</v>
      </c>
    </row>
    <row r="30" customFormat="false" ht="15" hidden="false" customHeight="false" outlineLevel="0" collapsed="false">
      <c r="A30" s="0" t="n">
        <v>15</v>
      </c>
      <c r="B30" s="20" t="n">
        <f aca="false">IF(Inputs!B22=0,1,1/(1+EXP(-Inputs!B22*(A30-Inputs!B21))))</f>
        <v>0.999997739675702</v>
      </c>
      <c r="C30" s="31" t="n">
        <f aca="false">IF(A30-Inputs!B23&lt;1,0,$B$9*IF(Inputs!B22=0,1,1/(1+EXP(-Inputs!B22*(A30-Inputs!B23-Inputs!B21)))))</f>
        <v>2.99998156747619</v>
      </c>
      <c r="D30" s="31" t="n">
        <f aca="true">D29*(1-$B$5)+IF(A30-Inputs!B17&lt;1,0,OFFSET(C30,-Inputs!B17,0)*(1-$B$5)^Inputs!B17)</f>
        <v>33.3300738681709</v>
      </c>
      <c r="E30" s="13" t="n">
        <f aca="false">IF(D30&gt;0,F30/D30,0)</f>
        <v>4136.73737810056</v>
      </c>
      <c r="F30" s="13" t="n">
        <f aca="true">F29*(1-$B$5)*(1+$B$6)+IF(A30-Inputs!B17&lt;1,0,OFFSET(C30,-Inputs!B17,0)*(1-$B$5)^Inputs!B17)*$B$3</f>
        <v>137877.762385315</v>
      </c>
      <c r="G30" s="13" t="n">
        <f aca="false">F30*$B$4</f>
        <v>89620.5455504548</v>
      </c>
      <c r="H30" s="13" t="n">
        <f aca="false">$B$9*B30*$B$7</f>
        <v>149.999660951355</v>
      </c>
      <c r="I30" s="13" t="n">
        <f aca="false">$B$8</f>
        <v>10000</v>
      </c>
      <c r="J30" s="13" t="n">
        <f aca="false">G30-H30-I30</f>
        <v>79470.5458895035</v>
      </c>
      <c r="K30" s="13" t="n">
        <f aca="false">K29+J30</f>
        <v>450763.342214021</v>
      </c>
      <c r="L30" s="13" t="n">
        <f aca="false">MIN(J30:J51)</f>
        <v>79470.5458895035</v>
      </c>
    </row>
    <row r="31" customFormat="false" ht="15" hidden="false" customHeight="false" outlineLevel="0" collapsed="false">
      <c r="A31" s="0" t="n">
        <v>16</v>
      </c>
      <c r="B31" s="20" t="n">
        <f aca="false">IF(Inputs!B22=0,1,1/(1+EXP(-Inputs!B22*(A31-Inputs!B21))))</f>
        <v>0.999999168471972</v>
      </c>
      <c r="C31" s="31" t="n">
        <f aca="false">IF(A31-Inputs!B23&lt;1,0,$B$9*IF(Inputs!B22=0,1,1/(1+EXP(-Inputs!B22*(A31-Inputs!B23-Inputs!B21)))))</f>
        <v>2.99999321902711</v>
      </c>
      <c r="D31" s="31" t="n">
        <f aca="true">D30*(1-$B$5)+IF(A31-Inputs!B17&lt;1,0,OFFSET(C31,-Inputs!B17,0)*(1-$B$5)^Inputs!B17)</f>
        <v>35.7301257575709</v>
      </c>
      <c r="E31" s="13" t="n">
        <f aca="false">IF(D31&gt;0,F31/D31,0)</f>
        <v>4175.85591045428</v>
      </c>
      <c r="F31" s="13" t="n">
        <f aca="true">F30*(1-$B$5)*(1+$B$6)+IF(A31-Inputs!B17&lt;1,0,OFFSET(C31,-Inputs!B17,0)*(1-$B$5)^Inputs!B17)*$B$3</f>
        <v>149203.856826027</v>
      </c>
      <c r="G31" s="13" t="n">
        <f aca="false">F31*$B$4</f>
        <v>96982.5069369178</v>
      </c>
      <c r="H31" s="13" t="n">
        <f aca="false">$B$9*B31*$B$7</f>
        <v>149.999875270796</v>
      </c>
      <c r="I31" s="13" t="n">
        <f aca="false">$B$8</f>
        <v>10000</v>
      </c>
      <c r="J31" s="13" t="n">
        <f aca="false">G31-H31-I31</f>
        <v>86832.507061647</v>
      </c>
      <c r="K31" s="13" t="n">
        <f aca="false">K30+J31</f>
        <v>537595.849275668</v>
      </c>
      <c r="L31" s="13" t="n">
        <f aca="false">MIN(J31:J51)</f>
        <v>86832.507061647</v>
      </c>
    </row>
    <row r="32" customFormat="false" ht="15" hidden="false" customHeight="false" outlineLevel="0" collapsed="false">
      <c r="A32" s="0" t="n">
        <v>17</v>
      </c>
      <c r="B32" s="20" t="n">
        <f aca="false">IF(Inputs!B22=0,1,1/(1+EXP(-Inputs!B22*(A32-Inputs!B21))))</f>
        <v>0.999999694097773</v>
      </c>
      <c r="C32" s="31" t="n">
        <f aca="false">IF(A32-Inputs!B23&lt;1,0,$B$9*IF(Inputs!B22=0,1,1/(1+EXP(-Inputs!B22*(A32-Inputs!B23-Inputs!B21)))))</f>
        <v>2.99999750541592</v>
      </c>
      <c r="D32" s="31" t="n">
        <f aca="true">D31*(1-$B$5)+IF(A32-Inputs!B17&lt;1,0,OFFSET(C32,-Inputs!B17,0)*(1-$B$5)^Inputs!B17)</f>
        <v>38.0869809993506</v>
      </c>
      <c r="E32" s="13" t="n">
        <f aca="false">IF(D32&gt;0,F32/D32,0)</f>
        <v>4215.31288930458</v>
      </c>
      <c r="F32" s="13" t="n">
        <f aca="true">F31*(1-$B$5)*(1+$B$6)+IF(A32-Inputs!B17&lt;1,0,OFFSET(C32,-Inputs!B17,0)*(1-$B$5)^Inputs!B17)*$B$3</f>
        <v>160548.541921261</v>
      </c>
      <c r="G32" s="13" t="n">
        <f aca="false">F32*$B$4</f>
        <v>104356.55224882</v>
      </c>
      <c r="H32" s="13" t="n">
        <f aca="false">$B$9*B32*$B$7</f>
        <v>149.999954114666</v>
      </c>
      <c r="I32" s="13" t="n">
        <f aca="false">$B$8</f>
        <v>10000</v>
      </c>
      <c r="J32" s="13" t="n">
        <f aca="false">G32-H32-I32</f>
        <v>94206.5522947049</v>
      </c>
      <c r="K32" s="13" t="n">
        <f aca="false">K31+J32</f>
        <v>631802.401570373</v>
      </c>
      <c r="L32" s="13" t="n">
        <f aca="false">MIN(J32:J51)</f>
        <v>94206.5522947049</v>
      </c>
    </row>
    <row r="33" customFormat="false" ht="15" hidden="false" customHeight="false" outlineLevel="0" collapsed="false">
      <c r="A33" s="0" t="n">
        <v>18</v>
      </c>
      <c r="B33" s="20" t="n">
        <f aca="false">IF(Inputs!B22=0,1,1/(1+EXP(-Inputs!B22*(A33-Inputs!B21))))</f>
        <v>0.999999887464838</v>
      </c>
      <c r="C33" s="31" t="n">
        <f aca="false">IF(A33-Inputs!B23&lt;1,0,$B$9*IF(Inputs!B22=0,1,1/(1+EXP(-Inputs!B22*(A33-Inputs!B23-Inputs!B21)))))</f>
        <v>2.99999908229332</v>
      </c>
      <c r="D33" s="31" t="n">
        <f aca="true">D32*(1-$B$5)+IF(A33-Inputs!B17&lt;1,0,OFFSET(C33,-Inputs!B17,0)*(1-$B$5)^Inputs!B17)</f>
        <v>40.4014144236556</v>
      </c>
      <c r="E33" s="13" t="n">
        <f aca="false">IF(D33&gt;0,F33/D33,0)</f>
        <v>4255.09454525039</v>
      </c>
      <c r="F33" s="13" t="n">
        <f aca="true">F32*(1-$B$5)*(1+$B$6)+IF(A33-Inputs!B17&lt;1,0,OFFSET(C33,-Inputs!B17,0)*(1-$B$5)^Inputs!B17)*$B$3</f>
        <v>171911.838134497</v>
      </c>
      <c r="G33" s="13" t="n">
        <f aca="false">F33*$B$4</f>
        <v>111742.694787423</v>
      </c>
      <c r="H33" s="13" t="n">
        <f aca="false">$B$9*B33*$B$7</f>
        <v>149.999983119726</v>
      </c>
      <c r="I33" s="13" t="n">
        <f aca="false">$B$8</f>
        <v>10000</v>
      </c>
      <c r="J33" s="13" t="n">
        <f aca="false">G33-H33-I33</f>
        <v>101592.694804303</v>
      </c>
      <c r="K33" s="13" t="n">
        <f aca="false">K32+J33</f>
        <v>733395.096374676</v>
      </c>
      <c r="L33" s="13" t="n">
        <f aca="false">MIN(J33:J51)</f>
        <v>101592.694804303</v>
      </c>
    </row>
    <row r="34" customFormat="false" ht="15" hidden="false" customHeight="false" outlineLevel="0" collapsed="false">
      <c r="A34" s="0" t="n">
        <v>19</v>
      </c>
      <c r="B34" s="20" t="n">
        <f aca="false">IF(Inputs!B22=0,1,1/(1+EXP(-Inputs!B22*(A34-Inputs!B21))))</f>
        <v>0.999999958600624</v>
      </c>
      <c r="C34" s="31" t="n">
        <f aca="false">IF(A34-Inputs!B23&lt;1,0,$B$9*IF(Inputs!B22=0,1,1/(1+EXP(-Inputs!B22*(A34-Inputs!B23-Inputs!B21)))))</f>
        <v>2.99999966239451</v>
      </c>
      <c r="D34" s="31" t="n">
        <f aca="true">D33*(1-$B$5)+IF(A34-Inputs!B17&lt;1,0,OFFSET(C34,-Inputs!B17,0)*(1-$B$5)^Inputs!B17)</f>
        <v>42.6741886264243</v>
      </c>
      <c r="E34" s="13" t="n">
        <f aca="false">IF(D34&gt;0,F34/D34,0)</f>
        <v>4295.19056365608</v>
      </c>
      <c r="F34" s="13" t="n">
        <f aca="true">F33*(1-$B$5)*(1+$B$6)+IF(A34-Inputs!B17&lt;1,0,OFFSET(C34,-Inputs!B17,0)*(1-$B$5)^Inputs!B17)*$B$3</f>
        <v>183293.772299897</v>
      </c>
      <c r="G34" s="13" t="n">
        <f aca="false">F34*$B$4</f>
        <v>119140.951994933</v>
      </c>
      <c r="H34" s="13" t="n">
        <f aca="false">$B$9*B34*$B$7</f>
        <v>149.999993790094</v>
      </c>
      <c r="I34" s="13" t="n">
        <f aca="false">$B$8</f>
        <v>10000</v>
      </c>
      <c r="J34" s="13" t="n">
        <f aca="false">G34-H34-I34</f>
        <v>108990.952001143</v>
      </c>
      <c r="K34" s="13" t="n">
        <f aca="false">K33+J34</f>
        <v>842386.04837582</v>
      </c>
      <c r="L34" s="13" t="n">
        <f aca="false">MIN(J34:J51)</f>
        <v>108990.952001143</v>
      </c>
    </row>
    <row r="35" customFormat="false" ht="15" hidden="false" customHeight="false" outlineLevel="0" collapsed="false">
      <c r="A35" s="0" t="n">
        <v>20</v>
      </c>
      <c r="B35" s="20" t="n">
        <f aca="false">IF(Inputs!B22=0,1,1/(1+EXP(-Inputs!B22*(A35-Inputs!B21))))</f>
        <v>0.999999984770021</v>
      </c>
      <c r="C35" s="31" t="n">
        <f aca="false">IF(A35-Inputs!B23&lt;1,0,$B$9*IF(Inputs!B22=0,1,1/(1+EXP(-Inputs!B22*(A35-Inputs!B23-Inputs!B21)))))</f>
        <v>2.99999987580187</v>
      </c>
      <c r="D35" s="31" t="n">
        <f aca="true">D34*(1-$B$5)+IF(A35-Inputs!B17&lt;1,0,OFFSET(C35,-Inputs!B17,0)*(1-$B$5)^Inputs!B17)</f>
        <v>44.9060531069505</v>
      </c>
      <c r="E35" s="13" t="n">
        <f aca="false">IF(D35&gt;0,F35/D35,0)</f>
        <v>4335.59309172067</v>
      </c>
      <c r="F35" s="13" t="n">
        <f aca="true">F34*(1-$B$5)*(1+$B$6)+IF(A35-Inputs!B17&lt;1,0,OFFSET(C35,-Inputs!B17,0)*(1-$B$5)^Inputs!B17)*$B$3</f>
        <v>194694.373626936</v>
      </c>
      <c r="G35" s="13" t="n">
        <f aca="false">F35*$B$4</f>
        <v>126551.342857509</v>
      </c>
      <c r="H35" s="13" t="n">
        <f aca="false">$B$9*B35*$B$7</f>
        <v>149.999997715503</v>
      </c>
      <c r="I35" s="13" t="n">
        <f aca="false">$B$8</f>
        <v>10000</v>
      </c>
      <c r="J35" s="13" t="n">
        <f aca="false">G35-H35-I35</f>
        <v>116401.342859793</v>
      </c>
      <c r="K35" s="13" t="n">
        <f aca="false">K34+J35</f>
        <v>958787.391235613</v>
      </c>
      <c r="L35" s="13" t="n">
        <f aca="false">MIN(J35:J51)</f>
        <v>116401.342859793</v>
      </c>
    </row>
    <row r="36" customFormat="false" ht="15" hidden="false" customHeight="false" outlineLevel="0" collapsed="false">
      <c r="A36" s="0" t="n">
        <v>21</v>
      </c>
      <c r="B36" s="20" t="n">
        <f aca="false">IF(Inputs!B22=0,1,1/(1+EXP(-Inputs!B22*(A36-Inputs!B21))))</f>
        <v>0.999999994397204</v>
      </c>
      <c r="C36" s="31" t="n">
        <f aca="false">IF(A36-Inputs!B23&lt;1,0,$B$9*IF(Inputs!B22=0,1,1/(1+EXP(-Inputs!B22*(A36-Inputs!B23-Inputs!B21)))))</f>
        <v>2.99999995431006</v>
      </c>
      <c r="D36" s="31" t="n">
        <f aca="true">D35*(1-$B$5)+IF(A36-Inputs!B17&lt;1,0,OFFSET(C36,-Inputs!B17,0)*(1-$B$5)^Inputs!B17)</f>
        <v>47.0977441053355</v>
      </c>
      <c r="E36" s="13" t="n">
        <f aca="false">IF(D36&gt;0,F36/D36,0)</f>
        <v>4376.29606568103</v>
      </c>
      <c r="F36" s="13" t="n">
        <f aca="true">F35*(1-$B$5)*(1+$B$6)+IF(A36-Inputs!B17&lt;1,0,OFFSET(C36,-Inputs!B17,0)*(1-$B$5)^Inputs!B17)*$B$3</f>
        <v>206113.672230632</v>
      </c>
      <c r="G36" s="13" t="n">
        <f aca="false">F36*$B$4</f>
        <v>133973.886949911</v>
      </c>
      <c r="H36" s="13" t="n">
        <f aca="false">$B$9*B36*$B$7</f>
        <v>149.999999159581</v>
      </c>
      <c r="I36" s="13" t="n">
        <f aca="false">$B$8</f>
        <v>10000</v>
      </c>
      <c r="J36" s="13" t="n">
        <f aca="false">G36-H36-I36</f>
        <v>123823.886950751</v>
      </c>
      <c r="K36" s="13" t="n">
        <f aca="false">K35+J36</f>
        <v>1082611.27818636</v>
      </c>
      <c r="L36" s="13" t="n">
        <f aca="false">MIN(J36:J51)</f>
        <v>123823.886950751</v>
      </c>
    </row>
    <row r="37" customFormat="false" ht="15" hidden="false" customHeight="false" outlineLevel="0" collapsed="false">
      <c r="A37" s="0" t="n">
        <v>22</v>
      </c>
      <c r="B37" s="20" t="n">
        <f aca="false">IF(Inputs!B22=0,1,1/(1+EXP(-Inputs!B22*(A37-Inputs!B21))))</f>
        <v>0.999999997938846</v>
      </c>
      <c r="C37" s="31" t="n">
        <f aca="false">IF(A37-Inputs!B23&lt;1,0,$B$9*IF(Inputs!B22=0,1,1/(1+EXP(-Inputs!B22*(A37-Inputs!B23-Inputs!B21)))))</f>
        <v>2.99999998319161</v>
      </c>
      <c r="D37" s="31" t="n">
        <f aca="true">D36*(1-$B$5)+IF(A37-Inputs!B17&lt;1,0,OFFSET(C37,-Inputs!B17,0)*(1-$B$5)^Inputs!B17)</f>
        <v>49.249984694631</v>
      </c>
      <c r="E37" s="13" t="n">
        <f aca="false">IF(D37&gt;0,F37/D37,0)</f>
        <v>4417.29474516192</v>
      </c>
      <c r="F37" s="13" t="n">
        <f aca="true">F36*(1-$B$5)*(1+$B$6)+IF(A37-Inputs!B17&lt;1,0,OFFSET(C37,-Inputs!B17,0)*(1-$B$5)^Inputs!B17)*$B$3</f>
        <v>217551.698590899</v>
      </c>
      <c r="G37" s="13" t="n">
        <f aca="false">F37*$B$4</f>
        <v>141408.604084084</v>
      </c>
      <c r="H37" s="13" t="n">
        <f aca="false">$B$9*B37*$B$7</f>
        <v>149.999999690827</v>
      </c>
      <c r="I37" s="13" t="n">
        <f aca="false">$B$8</f>
        <v>10000</v>
      </c>
      <c r="J37" s="13" t="n">
        <f aca="false">G37-H37-I37</f>
        <v>131258.604084393</v>
      </c>
      <c r="K37" s="13" t="n">
        <f aca="false">K36+J37</f>
        <v>1213869.88227076</v>
      </c>
      <c r="L37" s="13" t="n">
        <f aca="false">MIN(J37:J51)</f>
        <v>131258.604084393</v>
      </c>
    </row>
    <row r="38" customFormat="false" ht="15" hidden="false" customHeight="false" outlineLevel="0" collapsed="false">
      <c r="A38" s="0" t="n">
        <v>23</v>
      </c>
      <c r="B38" s="20" t="n">
        <f aca="false">IF(Inputs!B22=0,1,1/(1+EXP(-Inputs!B22*(A38-Inputs!B21))))</f>
        <v>0.999999999241744</v>
      </c>
      <c r="C38" s="31" t="n">
        <f aca="false">IF(A38-Inputs!B23&lt;1,0,$B$9*IF(Inputs!B22=0,1,1/(1+EXP(-Inputs!B22*(A38-Inputs!B23-Inputs!B21)))))</f>
        <v>2.99999999381654</v>
      </c>
      <c r="D38" s="31" t="n">
        <f aca="true">D37*(1-$B$5)+IF(A38-Inputs!B17&lt;1,0,OFFSET(C38,-Inputs!B17,0)*(1-$B$5)^Inputs!B17)</f>
        <v>51.3634849639442</v>
      </c>
      <c r="E38" s="13" t="n">
        <f aca="false">IF(D38&gt;0,F38/D38,0)</f>
        <v>4458.5853844315</v>
      </c>
      <c r="F38" s="13" t="n">
        <f aca="true">F37*(1-$B$5)*(1+$B$6)+IF(A38-Inputs!B17&lt;1,0,OFFSET(C38,-Inputs!B17,0)*(1-$B$5)^Inputs!B17)*$B$3</f>
        <v>229008.483353709</v>
      </c>
      <c r="G38" s="13" t="n">
        <f aca="false">F38*$B$4</f>
        <v>148855.514179911</v>
      </c>
      <c r="H38" s="13" t="n">
        <f aca="false">$B$9*B38*$B$7</f>
        <v>149.999999886262</v>
      </c>
      <c r="I38" s="13" t="n">
        <f aca="false">$B$8</f>
        <v>10000</v>
      </c>
      <c r="J38" s="13" t="n">
        <f aca="false">G38-H38-I38</f>
        <v>138705.514180025</v>
      </c>
      <c r="K38" s="13" t="n">
        <f aca="false">K37+J38</f>
        <v>1352575.39645078</v>
      </c>
      <c r="L38" s="13" t="n">
        <f aca="false">MIN(J38:J51)</f>
        <v>138705.514180025</v>
      </c>
    </row>
    <row r="39" customFormat="false" ht="15" hidden="false" customHeight="false" outlineLevel="0" collapsed="false">
      <c r="A39" s="0" t="n">
        <v>24</v>
      </c>
      <c r="B39" s="20" t="n">
        <f aca="false">IF(Inputs!B22=0,1,1/(1+EXP(-Inputs!B22*(A39-Inputs!B21))))</f>
        <v>0.999999999721053</v>
      </c>
      <c r="C39" s="31" t="n">
        <f aca="false">IF(A39-Inputs!B23&lt;1,0,$B$9*IF(Inputs!B22=0,1,1/(1+EXP(-Inputs!B22*(A39-Inputs!B23-Inputs!B21)))))</f>
        <v>2.99999999772523</v>
      </c>
      <c r="D39" s="31" t="n">
        <f aca="true">D38*(1-$B$5)+IF(A39-Inputs!B17&lt;1,0,OFFSET(C39,-Inputs!B17,0)*(1-$B$5)^Inputs!B17)</f>
        <v>53.4389422323185</v>
      </c>
      <c r="E39" s="13" t="n">
        <f aca="false">IF(D39&gt;0,F39/D39,0)</f>
        <v>4500.16499601585</v>
      </c>
      <c r="F39" s="13" t="n">
        <f aca="true">F38*(1-$B$5)*(1+$B$6)+IF(A39-Inputs!B17&lt;1,0,OFFSET(C39,-Inputs!B17,0)*(1-$B$5)^Inputs!B17)*$B$3</f>
        <v>240484.057257992</v>
      </c>
      <c r="G39" s="13" t="n">
        <f aca="false">F39*$B$4</f>
        <v>156314.637217695</v>
      </c>
      <c r="H39" s="13" t="n">
        <f aca="false">$B$9*B39*$B$7</f>
        <v>149.999999958158</v>
      </c>
      <c r="I39" s="13" t="n">
        <f aca="false">$B$8</f>
        <v>10000</v>
      </c>
      <c r="J39" s="13" t="n">
        <f aca="false">G39-H39-I39</f>
        <v>146164.637217737</v>
      </c>
      <c r="K39" s="13" t="n">
        <f aca="false">K38+J39</f>
        <v>1498740.03366852</v>
      </c>
      <c r="L39" s="13" t="n">
        <f aca="false">MIN(J39:J51)</f>
        <v>146164.637217737</v>
      </c>
    </row>
    <row r="40" customFormat="false" ht="15" hidden="false" customHeight="false" outlineLevel="0" collapsed="false">
      <c r="A40" s="0" t="n">
        <v>25</v>
      </c>
      <c r="B40" s="20" t="n">
        <f aca="false">IF(Inputs!B22=0,1,1/(1+EXP(-Inputs!B22*(A40-Inputs!B21))))</f>
        <v>0.999999999897381</v>
      </c>
      <c r="C40" s="31" t="n">
        <f aca="false">IF(A40-Inputs!B23&lt;1,0,$B$9*IF(Inputs!B22=0,1,1/(1+EXP(-Inputs!B22*(A40-Inputs!B23-Inputs!B21)))))</f>
        <v>2.99999999916316</v>
      </c>
      <c r="D40" s="31" t="n">
        <f aca="true">D39*(1-$B$5)+IF(A40-Inputs!B17&lt;1,0,OFFSET(C40,-Inputs!B17,0)*(1-$B$5)^Inputs!B17)</f>
        <v>55.4770412712999</v>
      </c>
      <c r="E40" s="13" t="n">
        <f aca="false">IF(D40&gt;0,F40/D40,0)</f>
        <v>4542.0311778443</v>
      </c>
      <c r="F40" s="13" t="n">
        <f aca="true">F39*(1-$B$5)*(1+$B$6)+IF(A40-Inputs!B17&lt;1,0,OFFSET(C40,-Inputs!B17,0)*(1-$B$5)^Inputs!B17)*$B$3</f>
        <v>251978.451108799</v>
      </c>
      <c r="G40" s="13" t="n">
        <f aca="false">F40*$B$4</f>
        <v>163785.99322072</v>
      </c>
      <c r="H40" s="13" t="n">
        <f aca="false">$B$9*B40*$B$7</f>
        <v>149.999999984607</v>
      </c>
      <c r="I40" s="13" t="n">
        <f aca="false">$B$8</f>
        <v>10000</v>
      </c>
      <c r="J40" s="13" t="n">
        <f aca="false">G40-H40-I40</f>
        <v>153635.993220735</v>
      </c>
      <c r="K40" s="13" t="n">
        <f aca="false">K39+J40</f>
        <v>1652376.02688925</v>
      </c>
      <c r="L40" s="13" t="n">
        <f aca="false">MIN(J40:J51)</f>
        <v>153635.993220735</v>
      </c>
    </row>
    <row r="41" customFormat="false" ht="15" hidden="false" customHeight="false" outlineLevel="0" collapsed="false">
      <c r="A41" s="0" t="n">
        <v>26</v>
      </c>
      <c r="B41" s="20" t="n">
        <f aca="false">IF(Inputs!B22=0,1,1/(1+EXP(-Inputs!B22*(A41-Inputs!B21))))</f>
        <v>0.999999999962249</v>
      </c>
      <c r="C41" s="31" t="n">
        <f aca="false">IF(A41-Inputs!B23&lt;1,0,$B$9*IF(Inputs!B22=0,1,1/(1+EXP(-Inputs!B22*(A41-Inputs!B23-Inputs!B21)))))</f>
        <v>2.99999999969214</v>
      </c>
      <c r="D41" s="31" t="n">
        <f aca="true">D40*(1-$B$5)+IF(A41-Inputs!B17&lt;1,0,OFFSET(C41,-Inputs!B17,0)*(1-$B$5)^Inputs!B17)</f>
        <v>57.4784545281086</v>
      </c>
      <c r="E41" s="13" t="n">
        <f aca="false">IF(D41&gt;0,F41/D41,0)</f>
        <v>4584.18198489703</v>
      </c>
      <c r="F41" s="13" t="n">
        <f aca="true">F40*(1-$B$5)*(1+$B$6)+IF(A41-Inputs!B17&lt;1,0,OFFSET(C41,-Inputs!B17,0)*(1-$B$5)^Inputs!B17)*$B$3</f>
        <v>263491.695767479</v>
      </c>
      <c r="G41" s="13" t="n">
        <f aca="false">F41*$B$4</f>
        <v>171269.602248861</v>
      </c>
      <c r="H41" s="13" t="n">
        <f aca="false">$B$9*B41*$B$7</f>
        <v>149.999999994337</v>
      </c>
      <c r="I41" s="13" t="n">
        <f aca="false">$B$8</f>
        <v>10000</v>
      </c>
      <c r="J41" s="13" t="n">
        <f aca="false">G41-H41-I41</f>
        <v>161119.602248867</v>
      </c>
      <c r="K41" s="13" t="n">
        <f aca="false">K40+J41</f>
        <v>1813495.62913812</v>
      </c>
      <c r="L41" s="13" t="n">
        <f aca="false">MIN(J41:J51)</f>
        <v>161119.602248867</v>
      </c>
    </row>
    <row r="42" customFormat="false" ht="15" hidden="false" customHeight="false" outlineLevel="0" collapsed="false">
      <c r="A42" s="0" t="n">
        <v>27</v>
      </c>
      <c r="B42" s="20" t="n">
        <f aca="false">IF(Inputs!B22=0,1,1/(1+EXP(-Inputs!B22*(A42-Inputs!B21))))</f>
        <v>0.999999999986112</v>
      </c>
      <c r="C42" s="31" t="n">
        <f aca="false">IF(A42-Inputs!B23&lt;1,0,$B$9*IF(Inputs!B22=0,1,1/(1+EXP(-Inputs!B22*(A42-Inputs!B23-Inputs!B21)))))</f>
        <v>2.99999999988675</v>
      </c>
      <c r="D42" s="31" t="n">
        <f aca="true">D41*(1-$B$5)+IF(A42-Inputs!B17&lt;1,0,OFFSET(C42,-Inputs!B17,0)*(1-$B$5)^Inputs!B17)</f>
        <v>59.4438423464894</v>
      </c>
      <c r="E42" s="13" t="n">
        <f aca="false">IF(D42&gt;0,F42/D42,0)</f>
        <v>4626.61583255411</v>
      </c>
      <c r="F42" s="13" t="n">
        <f aca="true">F41*(1-$B$5)*(1+$B$6)+IF(A42-Inputs!B17&lt;1,0,OFFSET(C42,-Inputs!B17,0)*(1-$B$5)^Inputs!B17)*$B$3</f>
        <v>275023.822148118</v>
      </c>
      <c r="G42" s="13" t="n">
        <f aca="false">F42*$B$4</f>
        <v>178765.484396277</v>
      </c>
      <c r="H42" s="13" t="n">
        <f aca="false">$B$9*B42*$B$7</f>
        <v>149.999999997917</v>
      </c>
      <c r="I42" s="13" t="n">
        <f aca="false">$B$8</f>
        <v>10000</v>
      </c>
      <c r="J42" s="13" t="n">
        <f aca="false">G42-H42-I42</f>
        <v>168615.484396279</v>
      </c>
      <c r="K42" s="13" t="n">
        <f aca="false">K41+J42</f>
        <v>1982111.1135344</v>
      </c>
      <c r="L42" s="13" t="n">
        <f aca="false">MIN(J42:J51)</f>
        <v>168615.484396279</v>
      </c>
    </row>
    <row r="43" customFormat="false" ht="15" hidden="false" customHeight="false" outlineLevel="0" collapsed="false">
      <c r="A43" s="0" t="n">
        <v>28</v>
      </c>
      <c r="B43" s="20" t="n">
        <f aca="false">IF(Inputs!B22=0,1,1/(1+EXP(-Inputs!B22*(A43-Inputs!B21))))</f>
        <v>0.999999999994891</v>
      </c>
      <c r="C43" s="31" t="n">
        <f aca="false">IF(A43-Inputs!B23&lt;1,0,$B$9*IF(Inputs!B22=0,1,1/(1+EXP(-Inputs!B22*(A43-Inputs!B23-Inputs!B21)))))</f>
        <v>2.99999999995834</v>
      </c>
      <c r="D43" s="31" t="n">
        <f aca="true">D42*(1-$B$5)+IF(A43-Inputs!B17&lt;1,0,OFFSET(C43,-Inputs!B17,0)*(1-$B$5)^Inputs!B17)</f>
        <v>61.3738531842109</v>
      </c>
      <c r="E43" s="13" t="n">
        <f aca="false">IF(D43&gt;0,F43/D43,0)</f>
        <v>4669.33142288044</v>
      </c>
      <c r="F43" s="13" t="n">
        <f aca="true">F42*(1-$B$5)*(1+$B$6)+IF(A43-Inputs!B17&lt;1,0,OFFSET(C43,-Inputs!B17,0)*(1-$B$5)^Inputs!B17)*$B$3</f>
        <v>286574.861216287</v>
      </c>
      <c r="G43" s="13" t="n">
        <f aca="false">F43*$B$4</f>
        <v>186273.659790587</v>
      </c>
      <c r="H43" s="13" t="n">
        <f aca="false">$B$9*B43*$B$7</f>
        <v>149.999999999234</v>
      </c>
      <c r="I43" s="13" t="n">
        <f aca="false">$B$8</f>
        <v>10000</v>
      </c>
      <c r="J43" s="13" t="n">
        <f aca="false">G43-H43-I43</f>
        <v>176123.659790587</v>
      </c>
      <c r="K43" s="13" t="n">
        <f aca="false">K42+J43</f>
        <v>2158234.77332499</v>
      </c>
      <c r="L43" s="13" t="n">
        <f aca="false">MIN(J43:J51)</f>
        <v>176123.659790587</v>
      </c>
    </row>
    <row r="44" customFormat="false" ht="15" hidden="false" customHeight="false" outlineLevel="0" collapsed="false">
      <c r="A44" s="0" t="n">
        <v>29</v>
      </c>
      <c r="B44" s="20" t="n">
        <f aca="false">IF(Inputs!B22=0,1,1/(1+EXP(-Inputs!B22*(A44-Inputs!B21))))</f>
        <v>0.99999999999812</v>
      </c>
      <c r="C44" s="31" t="n">
        <f aca="false">IF(A44-Inputs!B23&lt;1,0,$B$9*IF(Inputs!B22=0,1,1/(1+EXP(-Inputs!B22*(A44-Inputs!B23-Inputs!B21)))))</f>
        <v>2.99999999998467</v>
      </c>
      <c r="D44" s="31" t="n">
        <f aca="true">D43*(1-$B$5)+IF(A44-Inputs!B17&lt;1,0,OFFSET(C44,-Inputs!B17,0)*(1-$B$5)^Inputs!B17)</f>
        <v>63.2691238268798</v>
      </c>
      <c r="E44" s="13" t="n">
        <f aca="false">IF(D44&gt;0,F44/D44,0)</f>
        <v>4712.32768774267</v>
      </c>
      <c r="F44" s="13" t="n">
        <f aca="true">F43*(1-$B$5)*(1+$B$6)+IF(A44-Inputs!B17&lt;1,0,OFFSET(C44,-Inputs!B17,0)*(1-$B$5)^Inputs!B17)*$B$3</f>
        <v>298144.843988625</v>
      </c>
      <c r="G44" s="13" t="n">
        <f aca="false">F44*$B$4</f>
        <v>193794.148592606</v>
      </c>
      <c r="H44" s="13" t="n">
        <f aca="false">$B$9*B44*$B$7</f>
        <v>149.999999999718</v>
      </c>
      <c r="I44" s="13" t="n">
        <f aca="false">$B$8</f>
        <v>10000</v>
      </c>
      <c r="J44" s="13" t="n">
        <f aca="false">G44-H44-I44</f>
        <v>183644.148592607</v>
      </c>
      <c r="K44" s="13" t="n">
        <f aca="false">K43+J44</f>
        <v>2341878.92191759</v>
      </c>
      <c r="L44" s="13" t="n">
        <f aca="false">MIN(J44:J51)</f>
        <v>183644.148592607</v>
      </c>
    </row>
    <row r="45" customFormat="false" ht="15" hidden="false" customHeight="false" outlineLevel="0" collapsed="false">
      <c r="A45" s="0" t="n">
        <v>30</v>
      </c>
      <c r="B45" s="20" t="n">
        <f aca="false">IF(Inputs!B22=0,1,1/(1+EXP(-Inputs!B22*(A45-Inputs!B21))))</f>
        <v>0.999999999999309</v>
      </c>
      <c r="C45" s="31" t="n">
        <f aca="false">IF(A45-Inputs!B23&lt;1,0,$B$9*IF(Inputs!B22=0,1,1/(1+EXP(-Inputs!B22*(A45-Inputs!B23-Inputs!B21)))))</f>
        <v>2.99999999999436</v>
      </c>
      <c r="D45" s="31" t="n">
        <f aca="true">D44*(1-$B$5)+IF(A45-Inputs!B17&lt;1,0,OFFSET(C45,-Inputs!B17,0)*(1-$B$5)^Inputs!B17)</f>
        <v>65.1302795979903</v>
      </c>
      <c r="E45" s="13" t="n">
        <f aca="false">IF(D45&gt;0,F45/D45,0)</f>
        <v>4755.60374444182</v>
      </c>
      <c r="F45" s="13" t="n">
        <f aca="true">F44*(1-$B$5)*(1+$B$6)+IF(A45-Inputs!B17&lt;1,0,OFFSET(C45,-Inputs!B17,0)*(1-$B$5)^Inputs!B17)*$B$3</f>
        <v>309733.801532746</v>
      </c>
      <c r="G45" s="13" t="n">
        <f aca="false">F45*$B$4</f>
        <v>201326.970996285</v>
      </c>
      <c r="H45" s="13" t="n">
        <f aca="false">$B$9*B45*$B$7</f>
        <v>149.999999999896</v>
      </c>
      <c r="I45" s="13" t="n">
        <f aca="false">$B$8</f>
        <v>10000</v>
      </c>
      <c r="J45" s="13" t="n">
        <f aca="false">G45-H45-I45</f>
        <v>191176.970996285</v>
      </c>
      <c r="K45" s="13" t="n">
        <f aca="false">K44+J45</f>
        <v>2533055.89291388</v>
      </c>
      <c r="L45" s="13" t="n">
        <f aca="false">MIN(J45:J51)</f>
        <v>191176.970996285</v>
      </c>
    </row>
    <row r="46" customFormat="false" ht="15" hidden="false" customHeight="false" outlineLevel="0" collapsed="false">
      <c r="A46" s="0" t="n">
        <v>31</v>
      </c>
      <c r="B46" s="20" t="n">
        <f aca="false">IF(Inputs!B22=0,1,1/(1+EXP(-Inputs!B22*(A46-Inputs!B21))))</f>
        <v>0.999999999999746</v>
      </c>
      <c r="C46" s="31" t="n">
        <f aca="false">IF(A46-Inputs!B23&lt;1,0,$B$9*IF(Inputs!B22=0,1,1/(1+EXP(-Inputs!B22*(A46-Inputs!B23-Inputs!B21)))))</f>
        <v>2.99999999999793</v>
      </c>
      <c r="D46" s="31" t="n">
        <f aca="true">D45*(1-$B$5)+IF(A46-Inputs!B17&lt;1,0,OFFSET(C46,-Inputs!B17,0)*(1-$B$5)^Inputs!B17)</f>
        <v>66.9579345652244</v>
      </c>
      <c r="E46" s="13" t="n">
        <f aca="false">IF(D46&gt;0,F46/D46,0)</f>
        <v>4799.15886076547</v>
      </c>
      <c r="F46" s="13" t="n">
        <f aca="true">F45*(1-$B$5)*(1+$B$6)+IF(A46-Inputs!B17&lt;1,0,OFFSET(C46,-Inputs!B17,0)*(1-$B$5)^Inputs!B17)*$B$3</f>
        <v>321341.764967252</v>
      </c>
      <c r="G46" s="13" t="n">
        <f aca="false">F46*$B$4</f>
        <v>208872.147228714</v>
      </c>
      <c r="H46" s="13" t="n">
        <f aca="false">$B$9*B46*$B$7</f>
        <v>149.999999999962</v>
      </c>
      <c r="I46" s="13" t="n">
        <f aca="false">$B$8</f>
        <v>10000</v>
      </c>
      <c r="J46" s="13" t="n">
        <f aca="false">G46-H46-I46</f>
        <v>198722.147228714</v>
      </c>
      <c r="K46" s="13" t="n">
        <f aca="false">K45+J46</f>
        <v>2731778.04014259</v>
      </c>
      <c r="L46" s="13" t="n">
        <f aca="false">MIN(J46:J51)</f>
        <v>198722.147228714</v>
      </c>
    </row>
    <row r="47" customFormat="false" ht="15" hidden="false" customHeight="false" outlineLevel="0" collapsed="false">
      <c r="A47" s="0" t="n">
        <v>32</v>
      </c>
      <c r="B47" s="20" t="n">
        <f aca="false">IF(Inputs!B22=0,1,1/(1+EXP(-Inputs!B22*(A47-Inputs!B21))))</f>
        <v>0.999999999999907</v>
      </c>
      <c r="C47" s="31" t="n">
        <f aca="false">IF(A47-Inputs!B23&lt;1,0,$B$9*IF(Inputs!B22=0,1,1/(1+EXP(-Inputs!B22*(A47-Inputs!B23-Inputs!B21)))))</f>
        <v>2.99999999999924</v>
      </c>
      <c r="D47" s="31" t="n">
        <f aca="true">D46*(1-$B$5)+IF(A47-Inputs!B17&lt;1,0,OFFSET(C47,-Inputs!B17,0)*(1-$B$5)^Inputs!B17)</f>
        <v>68.7526917430496</v>
      </c>
      <c r="E47" s="13" t="n">
        <f aca="false">IF(D47&gt;0,F47/D47,0)</f>
        <v>4842.99242720858</v>
      </c>
      <c r="F47" s="13" t="n">
        <f aca="true">F46*(1-$B$5)*(1+$B$6)+IF(A47-Inputs!B17&lt;1,0,OFFSET(C47,-Inputs!B17,0)*(1-$B$5)^Inputs!B17)*$B$3</f>
        <v>332968.765461795</v>
      </c>
      <c r="G47" s="13" t="n">
        <f aca="false">F47*$B$4</f>
        <v>216429.697550167</v>
      </c>
      <c r="H47" s="13" t="n">
        <f aca="false">$B$9*B47*$B$7</f>
        <v>149.999999999986</v>
      </c>
      <c r="I47" s="13" t="n">
        <f aca="false">$B$8</f>
        <v>10000</v>
      </c>
      <c r="J47" s="13" t="n">
        <f aca="false">G47-H47-I47</f>
        <v>206279.697550167</v>
      </c>
      <c r="K47" s="13" t="n">
        <f aca="false">K46+J47</f>
        <v>2938057.73769276</v>
      </c>
      <c r="L47" s="13" t="n">
        <f aca="false">MIN(J47:J51)</f>
        <v>206279.697550167</v>
      </c>
    </row>
    <row r="48" customFormat="false" ht="15" hidden="false" customHeight="false" outlineLevel="0" collapsed="false">
      <c r="A48" s="0" t="n">
        <v>33</v>
      </c>
      <c r="B48" s="20" t="n">
        <f aca="false">IF(Inputs!B22=0,1,1/(1+EXP(-Inputs!B22*(A48-Inputs!B21))))</f>
        <v>0.999999999999966</v>
      </c>
      <c r="C48" s="31" t="n">
        <f aca="false">IF(A48-Inputs!B23&lt;1,0,$B$9*IF(Inputs!B22=0,1,1/(1+EXP(-Inputs!B22*(A48-Inputs!B23-Inputs!B21)))))</f>
        <v>2.99999999999972</v>
      </c>
      <c r="D48" s="31" t="n">
        <f aca="true">D47*(1-$B$5)+IF(A48-Inputs!B17&lt;1,0,OFFSET(C48,-Inputs!B17,0)*(1-$B$5)^Inputs!B17)</f>
        <v>70.5151432916745</v>
      </c>
      <c r="E48" s="13" t="n">
        <f aca="false">IF(D48&gt;0,F48/D48,0)</f>
        <v>4887.10393470673</v>
      </c>
      <c r="F48" s="13" t="n">
        <f aca="true">F47*(1-$B$5)*(1+$B$6)+IF(A48-Inputs!B17&lt;1,0,OFFSET(C48,-Inputs!B17,0)*(1-$B$5)^Inputs!B17)*$B$3</f>
        <v>344614.834237151</v>
      </c>
      <c r="G48" s="13" t="n">
        <f aca="false">F48*$B$4</f>
        <v>223999.642254148</v>
      </c>
      <c r="H48" s="13" t="n">
        <f aca="false">$B$9*B48*$B$7</f>
        <v>149.999999999995</v>
      </c>
      <c r="I48" s="13" t="n">
        <f aca="false">$B$8</f>
        <v>10000</v>
      </c>
      <c r="J48" s="13" t="n">
        <f aca="false">G48-H48-I48</f>
        <v>213849.642254148</v>
      </c>
      <c r="K48" s="13" t="n">
        <f aca="false">K47+J48</f>
        <v>3151907.37994691</v>
      </c>
      <c r="L48" s="13" t="n">
        <f aca="false">MIN(J48:J51)</f>
        <v>213849.642254148</v>
      </c>
    </row>
    <row r="49" customFormat="false" ht="15" hidden="false" customHeight="false" outlineLevel="0" collapsed="false">
      <c r="A49" s="0" t="n">
        <v>34</v>
      </c>
      <c r="B49" s="20" t="n">
        <f aca="false">IF(Inputs!B22=0,1,1/(1+EXP(-Inputs!B22*(A49-Inputs!B21))))</f>
        <v>0.999999999999987</v>
      </c>
      <c r="C49" s="31" t="n">
        <f aca="false">IF(A49-Inputs!B23&lt;1,0,$B$9*IF(Inputs!B22=0,1,1/(1+EXP(-Inputs!B22*(A49-Inputs!B23-Inputs!B21)))))</f>
        <v>2.9999999999999</v>
      </c>
      <c r="D49" s="31" t="n">
        <f aca="true">D48*(1-$B$5)+IF(A49-Inputs!B17&lt;1,0,OFFSET(C49,-Inputs!B17,0)*(1-$B$5)^Inputs!B17)</f>
        <v>72.2458707124242</v>
      </c>
      <c r="E49" s="13" t="n">
        <f aca="false">IF(D49&gt;0,F49/D49,0)</f>
        <v>4931.49295664908</v>
      </c>
      <c r="F49" s="13" t="n">
        <f aca="true">F48*(1-$B$5)*(1+$B$6)+IF(A49-Inputs!B17&lt;1,0,OFFSET(C49,-Inputs!B17,0)*(1-$B$5)^Inputs!B17)*$B$3</f>
        <v>356280.0025653</v>
      </c>
      <c r="G49" s="13" t="n">
        <f aca="false">F49*$B$4</f>
        <v>231582.001667445</v>
      </c>
      <c r="H49" s="13" t="n">
        <f aca="false">$B$9*B49*$B$7</f>
        <v>149.999999999998</v>
      </c>
      <c r="I49" s="13" t="n">
        <f aca="false">$B$8</f>
        <v>10000</v>
      </c>
      <c r="J49" s="13" t="n">
        <f aca="false">G49-H49-I49</f>
        <v>221432.001667445</v>
      </c>
      <c r="K49" s="13" t="n">
        <f aca="false">K48+J49</f>
        <v>3373339.38161435</v>
      </c>
      <c r="L49" s="13" t="n">
        <f aca="false">MIN(J49:J51)</f>
        <v>221432.001667445</v>
      </c>
    </row>
    <row r="50" customFormat="false" ht="15" hidden="false" customHeight="false" outlineLevel="0" collapsed="false">
      <c r="A50" s="0" t="n">
        <v>35</v>
      </c>
      <c r="B50" s="20" t="n">
        <f aca="false">IF(Inputs!B22=0,1,1/(1+EXP(-Inputs!B22*(A50-Inputs!B21))))</f>
        <v>0.999999999999995</v>
      </c>
      <c r="C50" s="31" t="n">
        <f aca="false">IF(A50-Inputs!B23&lt;1,0,$B$9*IF(Inputs!B22=0,1,1/(1+EXP(-Inputs!B22*(A50-Inputs!B23-Inputs!B21)))))</f>
        <v>2.99999999999996</v>
      </c>
      <c r="D50" s="31" t="n">
        <f aca="true">D49*(1-$B$5)+IF(A50-Inputs!B17&lt;1,0,OFFSET(C50,-Inputs!B17,0)*(1-$B$5)^Inputs!B17)</f>
        <v>73.9454450396005</v>
      </c>
      <c r="E50" s="13" t="n">
        <f aca="false">IF(D50&gt;0,F50/D50,0)</f>
        <v>4976.15913424347</v>
      </c>
      <c r="F50" s="13" t="n">
        <f aca="true">F49*(1-$B$5)*(1+$B$6)+IF(A50-Inputs!B17&lt;1,0,OFFSET(C50,-Inputs!B17,0)*(1-$B$5)^Inputs!B17)*$B$3</f>
        <v>367964.301769507</v>
      </c>
      <c r="G50" s="13" t="n">
        <f aca="false">F50*$B$4</f>
        <v>239176.796150179</v>
      </c>
      <c r="H50" s="13" t="n">
        <f aca="false">$B$9*B50*$B$7</f>
        <v>149.999999999999</v>
      </c>
      <c r="I50" s="13" t="n">
        <f aca="false">$B$8</f>
        <v>10000</v>
      </c>
      <c r="J50" s="13" t="n">
        <f aca="false">G50-H50-I50</f>
        <v>229026.796150179</v>
      </c>
      <c r="K50" s="13" t="n">
        <f aca="false">K49+J50</f>
        <v>3602366.17776453</v>
      </c>
      <c r="L50" s="13" t="n">
        <f aca="false">MIN(J50:J51)</f>
        <v>229026.796150179</v>
      </c>
    </row>
    <row r="51" customFormat="false" ht="15" hidden="false" customHeight="false" outlineLevel="0" collapsed="false">
      <c r="A51" s="0" t="n">
        <v>36</v>
      </c>
      <c r="B51" s="20" t="n">
        <f aca="false">IF(Inputs!B22=0,1,1/(1+EXP(-Inputs!B22*(A51-Inputs!B21))))</f>
        <v>0.999999999999998</v>
      </c>
      <c r="C51" s="31" t="n">
        <f aca="false">IF(A51-Inputs!B23&lt;1,0,$B$9*IF(Inputs!B22=0,1,1/(1+EXP(-Inputs!B22*(A51-Inputs!B23-Inputs!B21)))))</f>
        <v>2.99999999999999</v>
      </c>
      <c r="D51" s="31" t="n">
        <f aca="true">D50*(1-$B$5)+IF(A51-Inputs!B17&lt;1,0,OFFSET(C51,-Inputs!B17,0)*(1-$B$5)^Inputs!B17)</f>
        <v>75.6144270288877</v>
      </c>
      <c r="E51" s="13" t="n">
        <f aca="false">IF(D51&gt;0,F51/D51,0)</f>
        <v>5021.10216452954</v>
      </c>
      <c r="F51" s="13" t="n">
        <f aca="true">F50*(1-$B$5)*(1+$B$6)+IF(A51-Inputs!B17&lt;1,0,OFFSET(C51,-Inputs!B17,0)*(1-$B$5)^Inputs!B17)*$B$3</f>
        <v>379667.763224409</v>
      </c>
      <c r="G51" s="13" t="n">
        <f aca="false">F51*$B$4</f>
        <v>246784.046095866</v>
      </c>
      <c r="H51" s="13" t="n">
        <f aca="false">$B$9*B51*$B$7</f>
        <v>150</v>
      </c>
      <c r="I51" s="13" t="n">
        <f aca="false">$B$8</f>
        <v>10000</v>
      </c>
      <c r="J51" s="13" t="n">
        <f aca="false">G51-H51-I51</f>
        <v>236634.046095866</v>
      </c>
      <c r="K51" s="13" t="n">
        <f aca="false">K50+J51</f>
        <v>3839000.2238604</v>
      </c>
      <c r="L51" s="13" t="n">
        <f aca="false">MIN(J51)</f>
        <v>236634.046095866</v>
      </c>
    </row>
    <row r="53" customFormat="false" ht="15" hidden="false" customHeight="false" outlineLevel="0" collapsed="false">
      <c r="A53" s="12" t="s">
        <v>107</v>
      </c>
      <c r="B53" s="0" t="n">
        <f aca="false">IFERROR(INDEX(A16:A51,MATCH(TRUE(),INDEX(L16:L51&gt;=0,0),0)),"none")</f>
        <v>4</v>
      </c>
    </row>
    <row r="54" customFormat="false" ht="15" hidden="false" customHeight="false" outlineLevel="0" collapsed="false">
      <c r="A54" s="12" t="s">
        <v>19</v>
      </c>
      <c r="B54" s="13" t="n">
        <f aca="false">MAX(0,Inputs!B16,-MIN(K16:K51))</f>
        <v>22733.4930133685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2026-09-30T16:33:34Z</dcterms:created>
  <dc:creator>openpyxl</dc:creator>
  <dc:description/>
  <dc:language>en-US</dc:language>
  <cp:lastModifiedBy/>
  <dcterms:modified xsi:type="dcterms:W3CDTF">2026-09-30T16:33:34Z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