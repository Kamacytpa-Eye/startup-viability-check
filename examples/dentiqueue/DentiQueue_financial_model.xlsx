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Growth" sheetId="2" state="visible" r:id="rId4"/>
    <sheet name="Inputs" sheetId="3" state="visible" r:id="rId5"/>
    <sheet name="Founder" sheetId="4" state="visible" r:id="rId6"/>
    <sheet name="Market" sheetId="5" state="visible" r:id="rId7"/>
    <sheet name="Pessimistic" sheetId="6" state="visible" r:id="rId8"/>
    <sheet name="Optimistic" sheetId="7" state="visible" r:id="rId9"/>
  </sheets>
  <definedNames>
    <definedName function="false" hidden="false" localSheetId="0" name="_xlnm.Print_Area" vbProcedure="false">Summary!$A$1:$M$60,Summary!$O$1:$X$52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<sst xmlns="http://schemas.openxmlformats.org/spreadsheetml/2006/main" count="219" uniqueCount="121">
  <si>
    <t xml:space="preserve">Dashboard</t>
  </si>
  <si>
    <t xml:space="preserve">Founder case vs market case — every tile is a formula; change the blue cells on Inputs and this page updates.</t>
  </si>
  <si>
    <t xml:space="preserve">LTV / CAC (cash) — founder | market</t>
  </si>
  <si>
    <t xml:space="preserve">Payback, months — founder | market</t>
  </si>
  <si>
    <t xml:space="preserve">Break-even month — founder | market</t>
  </si>
  <si>
    <t xml:space="preserve">Peak capital need — founder | market</t>
  </si>
  <si>
    <t xml:space="preserve">Revenue month 36 — founder | market</t>
  </si>
  <si>
    <t xml:space="preserve">Revenue per customer needed for LTV/CAC = 3 (market)</t>
  </si>
  <si>
    <t xml:space="preserve">Metric</t>
  </si>
  <si>
    <t xml:space="preserve">Founder</t>
  </si>
  <si>
    <t xml:space="preserve">Market</t>
  </si>
  <si>
    <t xml:space="preserve">Pessimistic</t>
  </si>
  <si>
    <t xml:space="preserve">Optimistic</t>
  </si>
  <si>
    <t xml:space="preserve">Blended CAC</t>
  </si>
  <si>
    <t xml:space="preserve">LTV (lifetime gross-margin contribution, 60-mo cap)</t>
  </si>
  <si>
    <t xml:space="preserve">LTV / CAC (cash)</t>
  </si>
  <si>
    <t xml:space="preserve">Payback (months, cumulative)</t>
  </si>
  <si>
    <t xml:space="preserve">Gross margin</t>
  </si>
  <si>
    <t xml:space="preserve">Break-even month</t>
  </si>
  <si>
    <t xml:space="preserve">Peak capital need</t>
  </si>
  <si>
    <t xml:space="preserve">Revenue month 12</t>
  </si>
  <si>
    <t xml:space="preserve">Revenue month 24</t>
  </si>
  <si>
    <t xml:space="preserve">Revenue month 36</t>
  </si>
  <si>
    <t xml:space="preserve">Customers month 36</t>
  </si>
  <si>
    <t xml:space="preserve">Reference customers (3y)</t>
  </si>
  <si>
    <t xml:space="preserve">Ratio to reference</t>
  </si>
  <si>
    <t xml:space="preserve">Position vs comparables</t>
  </si>
  <si>
    <t xml:space="preserve">Month</t>
  </si>
  <si>
    <t xml:space="preserve">Rev Founder</t>
  </si>
  <si>
    <t xml:space="preserve">Rev Market</t>
  </si>
  <si>
    <t xml:space="preserve">Rev Pessimistic</t>
  </si>
  <si>
    <t xml:space="preserve">Rev Optimistic</t>
  </si>
  <si>
    <t xml:space="preserve">Cash Founder</t>
  </si>
  <si>
    <t xml:space="preserve">Cash Market</t>
  </si>
  <si>
    <t xml:space="preserve">Cash Pessimistic</t>
  </si>
  <si>
    <t xml:space="preserve">Cash Optimistic</t>
  </si>
  <si>
    <t xml:space="preserve">Units Founder</t>
  </si>
  <si>
    <t xml:space="preserve">Units Market</t>
  </si>
  <si>
    <t xml:space="preserve">Units Pessimistic</t>
  </si>
  <si>
    <t xml:space="preserve">Units Optimistic</t>
  </si>
  <si>
    <t xml:space="preserve">Growth funnel (documentation of where the capacity number came from)</t>
  </si>
  <si>
    <t xml:space="preserve">Motion: founder_led  ·  ramp 50% at month 1  ·  lag 0 mo</t>
  </si>
  <si>
    <t xml:space="preserve">Funnel step</t>
  </si>
  <si>
    <t xml:space="preserve">Value</t>
  </si>
  <si>
    <t xml:space="preserve">Source</t>
  </si>
  <si>
    <t xml:space="preserve">LinkedIn outreach + dental-association events → demos per month</t>
  </si>
  <si>
    <t xml:space="preserve">8</t>
  </si>
  <si>
    <t xml:space="preserve">founder_stated ('about 8 demos a month'); capacity benchmark capacity.founder_led 8–15 meetings/week (unverified) is far above this</t>
  </si>
  <si>
    <t xml:space="preserve">demo → paying clinic (%)</t>
  </si>
  <si>
    <t xml:space="preserve">25</t>
  </si>
  <si>
    <t xml:space="preserve">founder_stated ('roughly one in four'); market conv.demo.close.smb 15–30 % · secondary</t>
  </si>
  <si>
    <t xml:space="preserve">new clinics per month at full capacity</t>
  </si>
  <si>
    <t xml:space="preserve">2</t>
  </si>
  <si>
    <t xml:space="preserve">computed: 8 × 25 %; market 1.2–2.4 = 8 × 15–30 %</t>
  </si>
  <si>
    <t xml:space="preserve">The resulting capacity is the blue 'New customers per month at full capacity' input. Edit it there.</t>
  </si>
  <si>
    <t xml:space="preserve">Assumptions — founder vs market</t>
  </si>
  <si>
    <t xml:space="preserve">Revenue unit: subscription. Blue cells are inputs. Founder = the founder's number; Market = midpoint of the benchmark range (low/high feed the pessimistic and optimistic cases).</t>
  </si>
  <si>
    <t xml:space="preserve">Assumption</t>
  </si>
  <si>
    <t xml:space="preserve">Market (mid)</t>
  </si>
  <si>
    <t xml:space="preserve">Market low</t>
  </si>
  <si>
    <t xml:space="preserve">Market high</t>
  </si>
  <si>
    <t xml:space="preserve">Founder status</t>
  </si>
  <si>
    <t xml:space="preserve">Market source</t>
  </si>
  <si>
    <t xml:space="preserve">Price</t>
  </si>
  <si>
    <t xml:space="preserve">founder_stated</t>
  </si>
  <si>
    <t xml:space="preserve">Dr. Flex Booking-Flat €99 (1 calendar) – €169 (3 calendars) per practice per month, incl. digitale Nachrückerliste + reminders, published prices https://dr-flex.de/aerzte/preis · primary · 2026</t>
  </si>
  <si>
    <t xml:space="preserve">margin.saas · survey · 2024 (stale; no fresher primary found in this run)</t>
  </si>
  <si>
    <t xml:space="preserve">Monthly churn</t>
  </si>
  <si>
    <t xml:space="preserve">churn.saas.smb.2026 · secondary · 2026-01; ChartMogul &lt;$300k ARR median 6.5 %/month</t>
  </si>
  <si>
    <t xml:space="preserve">Expansion</t>
  </si>
  <si>
    <t xml:space="preserve">default 0</t>
  </si>
  <si>
    <t xml:space="preserve">New customers per month</t>
  </si>
  <si>
    <t xml:space="preserve">derived: 8 demos/month (founder_stated) × conv.demo.close.smb 15–30 % demo→close · secondary</t>
  </si>
  <si>
    <t xml:space="preserve">Cost per fte per month</t>
  </si>
  <si>
    <t xml:space="preserve">derived: low = Kruze Consulting US pre-seed founder salary ~$50k/yr ÷ 12 ÷ 1.10 (secondary, 2025); high = fte.cost.region mid $9 000 ÷ 1.10 (secondary, unverified)</t>
  </si>
  <si>
    <t xml:space="preserve">Cost to acquire</t>
  </si>
  <si>
    <t xml:space="preserve">founder_stated · unverified</t>
  </si>
  <si>
    <t xml:space="preserve">Scalars (same in every case)</t>
  </si>
  <si>
    <t xml:space="preserve">Team size (FTE)</t>
  </si>
  <si>
    <t xml:space="preserve">Fixed monthly overhead (content, licences, infra floor)</t>
  </si>
  <si>
    <t xml:space="preserve">Upfront investment before first revenue</t>
  </si>
  <si>
    <t xml:space="preserve">Free months per new customer (long trial)</t>
  </si>
  <si>
    <t xml:space="preserve">Founder time per new customer, value of unpaid hours (not cash; ratios only)</t>
  </si>
  <si>
    <t xml:space="preserve">Starting paying customers (post-revenue only, measured)</t>
  </si>
  <si>
    <t xml:space="preserve">Starting monthly revenue (post-revenue only, measured)</t>
  </si>
  <si>
    <t xml:space="preserve">Ramp: month at 50% capacity</t>
  </si>
  <si>
    <t xml:space="preserve">Ramp: steepness k (0 = no ramp)</t>
  </si>
  <si>
    <t xml:space="preserve">Sales-cycle lag (months)</t>
  </si>
  <si>
    <t xml:space="preserve">Comparable benchmark: segment size (customers)</t>
  </si>
  <si>
    <t xml:space="preserve">Comparable penetration after ~3 years (founder/market = mid; low/high edges)</t>
  </si>
  <si>
    <t xml:space="preserve">Acquisition channels — the founder's CAC is the volume-weighted average of this table</t>
  </si>
  <si>
    <t xml:space="preserve">Channel</t>
  </si>
  <si>
    <t xml:space="preserve">Customers / month</t>
  </si>
  <si>
    <t xml:space="preserve">Channel CAC</t>
  </si>
  <si>
    <t xml:space="preserve">Effective CAC</t>
  </si>
  <si>
    <t xml:space="preserve">(none — CAC from the assumption row)</t>
  </si>
  <si>
    <t xml:space="preserve">Founder case</t>
  </si>
  <si>
    <t xml:space="preserve">Revenue per customer-month (ARPU₀)</t>
  </si>
  <si>
    <t xml:space="preserve">Monthly expansion</t>
  </si>
  <si>
    <t xml:space="preserve">Fixed burn / month</t>
  </si>
  <si>
    <t xml:space="preserve">New customers / month at full capacity</t>
  </si>
  <si>
    <t xml:space="preserve">LTV (lifetime contribution, 60-mo cap)</t>
  </si>
  <si>
    <t xml:space="preserve">Payback (months, cumulative; "none" = not within 60)</t>
  </si>
  <si>
    <t xml:space="preserve">Ramp</t>
  </si>
  <si>
    <t xml:space="preserve">New customers (arrivals)</t>
  </si>
  <si>
    <t xml:space="preserve">Paying customers</t>
  </si>
  <si>
    <t xml:space="preserve">ARPU (derived)</t>
  </si>
  <si>
    <t xml:space="preserve">Revenue</t>
  </si>
  <si>
    <t xml:space="preserve">Gross profit</t>
  </si>
  <si>
    <t xml:space="preserve">Acquisition spend</t>
  </si>
  <si>
    <t xml:space="preserve">Fixed burn</t>
  </si>
  <si>
    <t xml:space="preserve">Net cash flow</t>
  </si>
  <si>
    <t xml:space="preserve">Cumulative cash</t>
  </si>
  <si>
    <t xml:space="preserve">Lowest net from here on</t>
  </si>
  <si>
    <t xml:space="preserve">Break-even month (net ≥ 0 from then on)</t>
  </si>
  <si>
    <t xml:space="preserve">Reference customers, 3y (segment × comparable penetration)</t>
  </si>
  <si>
    <t xml:space="preserve">Bottom-up customers, month 36 (same 3-year window as the reference)</t>
  </si>
  <si>
    <t xml:space="preserve">Position</t>
  </si>
  <si>
    <t xml:space="preserve">Market case</t>
  </si>
  <si>
    <t xml:space="preserve">Pessimistic case</t>
  </si>
  <si>
    <t xml:space="preserve">Optimistic case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</si>
</sst>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#,##0;\(#,##0\);\-"/>
    <numFmt numFmtId="167" formatCode="0.0\x"/>
    <numFmt numFmtId="168" formatCode="0"/>
    <numFmt numFmtId="169" formatCode="0.0%"/>
    <numFmt numFmtId="170" formatCode="#,##0"/>
    <numFmt numFmtId="171" formatCode="0.00"/>
    <numFmt numFmtId="172" formatCode="0.0"/>
    <numFmt numFmtId="173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5"/>
      <color rgb="FF1F3864"/>
      <name val="Arial"/>
      <family val="0"/>
      <charset val="1"/>
    </font>
    <font>
      <sz val="8"/>
      <color rgb="FF59595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4F8"/>
        <bgColor rgb="FFFFFFFF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2F4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Revenue by case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Summary!B24</c:f>
              <c:strCache>
                <c:ptCount val="1"/>
                <c:pt idx="0">
                  <c:v>Rev Founder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Summary!$B$25:$B$60</c:f>
              <c:numCache>
                <c:formatCode>#,##0;\(#,##0\);\-</c:formatCode>
                <c:ptCount val="36"/>
                <c:pt idx="0">
                  <c:v>894</c:v>
                </c:pt>
                <c:pt idx="1">
                  <c:v>1043</c:v>
                </c:pt>
                <c:pt idx="2">
                  <c:v>1260.85545643174</c:v>
                </c:pt>
                <c:pt idx="3">
                  <c:v>1523.33298566915</c:v>
                </c:pt>
                <c:pt idx="4">
                  <c:v>1807.20007546224</c:v>
                </c:pt>
                <c:pt idx="5">
                  <c:v>2099.84018489353</c:v>
                </c:pt>
                <c:pt idx="6">
                  <c:v>2395.8457153181</c:v>
                </c:pt>
                <c:pt idx="7">
                  <c:v>2693.10887361742</c:v>
                </c:pt>
                <c:pt idx="8">
                  <c:v>2990.83738036149</c:v>
                </c:pt>
                <c:pt idx="9">
                  <c:v>3288.73744602261</c:v>
                </c:pt>
                <c:pt idx="10">
                  <c:v>3586.70067443896</c:v>
                </c:pt>
                <c:pt idx="11">
                  <c:v>3884.68714587409</c:v>
                </c:pt>
                <c:pt idx="12">
                  <c:v>4182.68216885038</c:v>
                </c:pt>
                <c:pt idx="13">
                  <c:v>4480.68033788635</c:v>
                </c:pt>
                <c:pt idx="14">
                  <c:v>4778.67966430971</c:v>
                </c:pt>
                <c:pt idx="15">
                  <c:v>5076.67941651436</c:v>
                </c:pt>
                <c:pt idx="16">
                  <c:v>5374.67932535549</c:v>
                </c:pt>
                <c:pt idx="17">
                  <c:v>5672.67929182001</c:v>
                </c:pt>
                <c:pt idx="18">
                  <c:v>5970.679279483</c:v>
                </c:pt>
                <c:pt idx="19">
                  <c:v>6268.67927494447</c:v>
                </c:pt>
                <c:pt idx="20">
                  <c:v>6566.67927327483</c:v>
                </c:pt>
                <c:pt idx="21">
                  <c:v>6864.67927266061</c:v>
                </c:pt>
                <c:pt idx="22">
                  <c:v>7162.67927243465</c:v>
                </c:pt>
                <c:pt idx="23">
                  <c:v>7460.67927235152</c:v>
                </c:pt>
                <c:pt idx="24">
                  <c:v>7758.67927232094</c:v>
                </c:pt>
                <c:pt idx="25">
                  <c:v>8056.67927230969</c:v>
                </c:pt>
                <c:pt idx="26">
                  <c:v>8354.67927230555</c:v>
                </c:pt>
                <c:pt idx="27">
                  <c:v>8652.67927230403</c:v>
                </c:pt>
                <c:pt idx="28">
                  <c:v>8950.67927230347</c:v>
                </c:pt>
                <c:pt idx="29">
                  <c:v>9248.67927230327</c:v>
                </c:pt>
                <c:pt idx="30">
                  <c:v>9546.67927230319</c:v>
                </c:pt>
                <c:pt idx="31">
                  <c:v>9844.67927230316</c:v>
                </c:pt>
                <c:pt idx="32">
                  <c:v>10142.6792723032</c:v>
                </c:pt>
                <c:pt idx="33">
                  <c:v>10440.6792723031</c:v>
                </c:pt>
                <c:pt idx="34">
                  <c:v>10738.6792723031</c:v>
                </c:pt>
                <c:pt idx="35">
                  <c:v>11036.6792723031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Summary!C24</c:f>
              <c:strCache>
                <c:ptCount val="1"/>
                <c:pt idx="0">
                  <c:v>Rev Market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Summary!$C$25:$C$60</c:f>
              <c:numCache>
                <c:formatCode>#,##0;\(#,##0\);\-</c:formatCode>
                <c:ptCount val="36"/>
                <c:pt idx="0">
                  <c:v>849.3</c:v>
                </c:pt>
                <c:pt idx="1">
                  <c:v>921.405</c:v>
                </c:pt>
                <c:pt idx="2">
                  <c:v>1042.84951270728</c:v>
                </c:pt>
                <c:pt idx="3">
                  <c:v>1192.53287951977</c:v>
                </c:pt>
                <c:pt idx="4">
                  <c:v>1351.17907096387</c:v>
                </c:pt>
                <c:pt idx="5">
                  <c:v>1508.63875726496</c:v>
                </c:pt>
                <c:pt idx="6">
                  <c:v>1660.81321954093</c:v>
                </c:pt>
                <c:pt idx="7">
                  <c:v>1806.34598169377</c:v>
                </c:pt>
                <c:pt idx="8">
                  <c:v>1944.95992433839</c:v>
                </c:pt>
                <c:pt idx="9">
                  <c:v>2076.77508599258</c:v>
                </c:pt>
                <c:pt idx="10">
                  <c:v>2202.04805705981</c:v>
                </c:pt>
                <c:pt idx="11">
                  <c:v>2321.07525173918</c:v>
                </c:pt>
                <c:pt idx="12">
                  <c:v>2434.15766218842</c:v>
                </c:pt>
                <c:pt idx="13">
                  <c:v>2541.58837120283</c:v>
                </c:pt>
                <c:pt idx="14">
                  <c:v>2643.64843471198</c:v>
                </c:pt>
                <c:pt idx="15">
                  <c:v>2740.60582244005</c:v>
                </c:pt>
                <c:pt idx="16">
                  <c:v>2832.71546122361</c:v>
                </c:pt>
                <c:pt idx="17">
                  <c:v>2920.21966237612</c:v>
                </c:pt>
                <c:pt idx="18">
                  <c:v>3003.34866977106</c:v>
                </c:pt>
                <c:pt idx="19">
                  <c:v>3082.32123279271</c:v>
                </c:pt>
                <c:pt idx="20">
                  <c:v>3157.34516986925</c:v>
                </c:pt>
                <c:pt idx="21">
                  <c:v>3228.6179109035</c:v>
                </c:pt>
                <c:pt idx="22">
                  <c:v>3296.32701518457</c:v>
                </c:pt>
                <c:pt idx="23">
                  <c:v>3360.65066436143</c:v>
                </c:pt>
                <c:pt idx="24">
                  <c:v>3421.75813111984</c:v>
                </c:pt>
                <c:pt idx="25">
                  <c:v>3479.8102245552</c:v>
                </c:pt>
                <c:pt idx="26">
                  <c:v>3534.95971332426</c:v>
                </c:pt>
                <c:pt idx="27">
                  <c:v>3587.35172765687</c:v>
                </c:pt>
                <c:pt idx="28">
                  <c:v>3637.1241412736</c:v>
                </c:pt>
                <c:pt idx="29">
                  <c:v>3684.40793420976</c:v>
                </c:pt>
                <c:pt idx="30">
                  <c:v>3729.32753749921</c:v>
                </c:pt>
                <c:pt idx="31">
                  <c:v>3772.00116062423</c:v>
                </c:pt>
                <c:pt idx="32">
                  <c:v>3812.54110259301</c:v>
                </c:pt>
                <c:pt idx="33">
                  <c:v>3851.05404746336</c:v>
                </c:pt>
                <c:pt idx="34">
                  <c:v>3887.64134509019</c:v>
                </c:pt>
                <c:pt idx="35">
                  <c:v>3922.39927783568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Summary!D24</c:f>
              <c:strCache>
                <c:ptCount val="1"/>
                <c:pt idx="0">
                  <c:v>Rev Pessimistic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Summary!$D$25:$D$60</c:f>
              <c:numCache>
                <c:formatCode>#,##0;\(#,##0\);\-</c:formatCode>
                <c:ptCount val="36"/>
                <c:pt idx="0">
                  <c:v>831.42</c:v>
                </c:pt>
                <c:pt idx="1">
                  <c:v>828.4626</c:v>
                </c:pt>
                <c:pt idx="2">
                  <c:v>851.240494001357</c:v>
                </c:pt>
                <c:pt idx="3">
                  <c:v>888.967643784571</c:v>
                </c:pt>
                <c:pt idx="4">
                  <c:v>931.9841085475</c:v>
                </c:pt>
                <c:pt idx="5">
                  <c:v>975.242032527724</c:v>
                </c:pt>
                <c:pt idx="6">
                  <c:v>1016.71963730926</c:v>
                </c:pt>
                <c:pt idx="7">
                  <c:v>1055.76007740078</c:v>
                </c:pt>
                <c:pt idx="8">
                  <c:v>1092.24021540256</c:v>
                </c:pt>
                <c:pt idx="9">
                  <c:v>1126.23034950057</c:v>
                </c:pt>
                <c:pt idx="10">
                  <c:v>1157.86459190919</c:v>
                </c:pt>
                <c:pt idx="11">
                  <c:v>1187.29305473742</c:v>
                </c:pt>
                <c:pt idx="12">
                  <c:v>1214.66469566591</c:v>
                </c:pt>
                <c:pt idx="13">
                  <c:v>1240.12148813631</c:v>
                </c:pt>
                <c:pt idx="14">
                  <c:v>1263.7967342371</c:v>
                </c:pt>
                <c:pt idx="15">
                  <c:v>1285.81487096996</c:v>
                </c:pt>
                <c:pt idx="16">
                  <c:v>1306.29179620476</c:v>
                </c:pt>
                <c:pt idx="17">
                  <c:v>1325.33535803709</c:v>
                </c:pt>
                <c:pt idx="18">
                  <c:v>1343.04587840053</c:v>
                </c:pt>
                <c:pt idx="19">
                  <c:v>1359.51666522982</c:v>
                </c:pt>
                <c:pt idx="20">
                  <c:v>1374.83449804472</c:v>
                </c:pt>
                <c:pt idx="21">
                  <c:v>1389.08008295386</c:v>
                </c:pt>
                <c:pt idx="22">
                  <c:v>1402.32847706332</c:v>
                </c:pt>
                <c:pt idx="23">
                  <c:v>1414.64948363806</c:v>
                </c:pt>
                <c:pt idx="24">
                  <c:v>1426.10801977206</c:v>
                </c:pt>
                <c:pt idx="25">
                  <c:v>1436.76445838385</c:v>
                </c:pt>
                <c:pt idx="26">
                  <c:v>1446.67494629544</c:v>
                </c:pt>
                <c:pt idx="27">
                  <c:v>1455.8917000542</c:v>
                </c:pt>
                <c:pt idx="28">
                  <c:v>1464.4632810502</c:v>
                </c:pt>
                <c:pt idx="29">
                  <c:v>1472.43485137661</c:v>
                </c:pt>
                <c:pt idx="30">
                  <c:v>1479.84841178021</c:v>
                </c:pt>
                <c:pt idx="31">
                  <c:v>1486.74302295559</c:v>
                </c:pt>
                <c:pt idx="32">
                  <c:v>1493.15501134869</c:v>
                </c:pt>
                <c:pt idx="33">
                  <c:v>1499.11816055428</c:v>
                </c:pt>
                <c:pt idx="34">
                  <c:v>1504.66388931548</c:v>
                </c:pt>
                <c:pt idx="35">
                  <c:v>1509.8214170634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Summary!E24</c:f>
              <c:strCache>
                <c:ptCount val="1"/>
                <c:pt idx="0">
                  <c:v>Rev Optimistic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Summary!$E$25:$E$60</c:f>
              <c:numCache>
                <c:formatCode>#,##0;\(#,##0\);\-</c:formatCode>
                <c:ptCount val="36"/>
                <c:pt idx="0">
                  <c:v>867.18</c:v>
                </c:pt>
                <c:pt idx="1">
                  <c:v>1037.8806</c:v>
                </c:pt>
                <c:pt idx="2">
                  <c:v>1294.36602070756</c:v>
                </c:pt>
                <c:pt idx="3">
                  <c:v>1602.06879606933</c:v>
                </c:pt>
                <c:pt idx="4">
                  <c:v>1928.77987605125</c:v>
                </c:pt>
                <c:pt idx="5">
                  <c:v>2257.27212921191</c:v>
                </c:pt>
                <c:pt idx="6">
                  <c:v>2580.35278361071</c:v>
                </c:pt>
                <c:pt idx="7">
                  <c:v>2895.40139102863</c:v>
                </c:pt>
                <c:pt idx="8">
                  <c:v>3201.61291260425</c:v>
                </c:pt>
                <c:pt idx="9">
                  <c:v>3498.86458775359</c:v>
                </c:pt>
                <c:pt idx="10">
                  <c:v>3787.28210274617</c:v>
                </c:pt>
                <c:pt idx="11">
                  <c:v>4067.0777786895</c:v>
                </c:pt>
                <c:pt idx="12">
                  <c:v>4338.49087445502</c:v>
                </c:pt>
                <c:pt idx="13">
                  <c:v>4601.76573090646</c:v>
                </c:pt>
                <c:pt idx="14">
                  <c:v>4857.14386969536</c:v>
                </c:pt>
                <c:pt idx="15">
                  <c:v>5104.86122645476</c:v>
                </c:pt>
                <c:pt idx="16">
                  <c:v>5345.1472693094</c:v>
                </c:pt>
                <c:pt idx="17">
                  <c:v>5578.22480695518</c:v>
                </c:pt>
                <c:pt idx="18">
                  <c:v>5804.31004645868</c:v>
                </c:pt>
                <c:pt idx="19">
                  <c:v>6023.61273907296</c:v>
                </c:pt>
                <c:pt idx="20">
                  <c:v>6236.33635469645</c:v>
                </c:pt>
                <c:pt idx="21">
                  <c:v>6442.67826324464</c:v>
                </c:pt>
                <c:pt idx="22">
                  <c:v>6642.82991504898</c:v>
                </c:pt>
                <c:pt idx="23">
                  <c:v>6836.97701748776</c:v>
                </c:pt>
                <c:pt idx="24">
                  <c:v>7025.29970692275</c:v>
                </c:pt>
                <c:pt idx="25">
                  <c:v>7207.97271570022</c:v>
                </c:pt>
                <c:pt idx="26">
                  <c:v>7385.16553422375</c:v>
                </c:pt>
                <c:pt idx="27">
                  <c:v>7557.04256819503</c:v>
                </c:pt>
                <c:pt idx="28">
                  <c:v>7723.76329114844</c:v>
                </c:pt>
                <c:pt idx="29">
                  <c:v>7885.48239241371</c:v>
                </c:pt>
                <c:pt idx="30">
                  <c:v>8042.3499206412</c:v>
                </c:pt>
                <c:pt idx="31">
                  <c:v>8194.51142302192</c:v>
                </c:pt>
                <c:pt idx="32">
                  <c:v>8342.10808033125</c:v>
                </c:pt>
                <c:pt idx="33">
                  <c:v>8485.27683792131</c:v>
                </c:pt>
                <c:pt idx="34">
                  <c:v>8624.15053278367</c:v>
                </c:pt>
                <c:pt idx="35">
                  <c:v>8758.85801680016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228857"/>
        <c:axId val="37867741"/>
      </c:lineChart>
      <c:catAx>
        <c:axId val="752288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867741"/>
        <c:crosses val="autoZero"/>
        <c:auto val="1"/>
        <c:lblAlgn val="ctr"/>
        <c:lblOffset val="100"/>
        <c:noMultiLvlLbl val="0"/>
      </c:catAx>
      <c:valAx>
        <c:axId val="378677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22885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Cumulative cash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Summary!F24</c:f>
              <c:strCache>
                <c:ptCount val="1"/>
                <c:pt idx="0">
                  <c:v>Cash Founder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Summary!$F$25:$F$60</c:f>
              <c:numCache>
                <c:formatCode>#,##0;\(#,##0\);\-</c:formatCode>
                <c:ptCount val="36"/>
                <c:pt idx="0">
                  <c:v>-5278.414</c:v>
                </c:pt>
                <c:pt idx="1">
                  <c:v>-10466.108715726</c:v>
                </c:pt>
                <c:pt idx="2">
                  <c:v>-15483.5419668608</c:v>
                </c:pt>
                <c:pt idx="3">
                  <c:v>-20274.1137783953</c:v>
                </c:pt>
                <c:pt idx="4">
                  <c:v>-24809.6996670531</c:v>
                </c:pt>
                <c:pt idx="5">
                  <c:v>-29078.6079669511</c:v>
                </c:pt>
                <c:pt idx="6">
                  <c:v>-33076.3312299425</c:v>
                </c:pt>
                <c:pt idx="7">
                  <c:v>-36801.1819648492</c:v>
                </c:pt>
                <c:pt idx="8">
                  <c:v>-40252.5353422709</c:v>
                </c:pt>
                <c:pt idx="9">
                  <c:v>-43430.1609504609</c:v>
                </c:pt>
                <c:pt idx="10">
                  <c:v>-46333.9739510778</c:v>
                </c:pt>
                <c:pt idx="11">
                  <c:v>-48963.9431237351</c:v>
                </c:pt>
                <c:pt idx="12">
                  <c:v>-51320.0569817267</c:v>
                </c:pt>
                <c:pt idx="13">
                  <c:v>-53402.3112991443</c:v>
                </c:pt>
                <c:pt idx="14">
                  <c:v>-55210.704521338</c:v>
                </c:pt>
                <c:pt idx="15">
                  <c:v>-56745.2360763809</c:v>
                </c:pt>
                <c:pt idx="16">
                  <c:v>-58005.9057538722</c:v>
                </c:pt>
                <c:pt idx="17">
                  <c:v>-58992.7134764097</c:v>
                </c:pt>
                <c:pt idx="18">
                  <c:v>-59705.6592155188</c:v>
                </c:pt>
                <c:pt idx="19">
                  <c:v>-60144.7429607243</c:v>
                </c:pt>
                <c:pt idx="20">
                  <c:v>-60309.9647081725</c:v>
                </c:pt>
                <c:pt idx="21">
                  <c:v>-60201.3244564458</c:v>
                </c:pt>
                <c:pt idx="22">
                  <c:v>-59818.8222050225</c:v>
                </c:pt>
                <c:pt idx="23">
                  <c:v>-59162.457953711</c:v>
                </c:pt>
                <c:pt idx="24">
                  <c:v>-58232.2317024405</c:v>
                </c:pt>
                <c:pt idx="25">
                  <c:v>-57028.1434511851</c:v>
                </c:pt>
                <c:pt idx="26">
                  <c:v>-55550.1931999353</c:v>
                </c:pt>
                <c:pt idx="27">
                  <c:v>-53798.3809486875</c:v>
                </c:pt>
                <c:pt idx="28">
                  <c:v>-51772.7066974404</c:v>
                </c:pt>
                <c:pt idx="29">
                  <c:v>-49473.1704461937</c:v>
                </c:pt>
                <c:pt idx="30">
                  <c:v>-46899.772194947</c:v>
                </c:pt>
                <c:pt idx="31">
                  <c:v>-44052.5119437004</c:v>
                </c:pt>
                <c:pt idx="32">
                  <c:v>-40931.3896924538</c:v>
                </c:pt>
                <c:pt idx="33">
                  <c:v>-37536.4054412072</c:v>
                </c:pt>
                <c:pt idx="34">
                  <c:v>-33867.5591899607</c:v>
                </c:pt>
                <c:pt idx="35">
                  <c:v>-29924.8509387141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Summary!G24</c:f>
              <c:strCache>
                <c:ptCount val="1"/>
                <c:pt idx="0">
                  <c:v>Cash Market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Summary!$G$25:$G$60</c:f>
              <c:numCache>
                <c:formatCode>#,##0;\(#,##0\);\-</c:formatCode>
                <c:ptCount val="36"/>
                <c:pt idx="0">
                  <c:v>-11380.56</c:v>
                </c:pt>
                <c:pt idx="1">
                  <c:v>-22745.0265441534</c:v>
                </c:pt>
                <c:pt idx="2">
                  <c:v>-34039.2904080236</c:v>
                </c:pt>
                <c:pt idx="3">
                  <c:v>-45226.7274472358</c:v>
                </c:pt>
                <c:pt idx="4">
                  <c:v>-56292.5466726715</c:v>
                </c:pt>
                <c:pt idx="5">
                  <c:v>-67234.4309536932</c:v>
                </c:pt>
                <c:pt idx="6">
                  <c:v>-78055.3353058923</c:v>
                </c:pt>
                <c:pt idx="7">
                  <c:v>-88760.0945313223</c:v>
                </c:pt>
                <c:pt idx="8">
                  <c:v>-99354.0662288281</c:v>
                </c:pt>
                <c:pt idx="9">
                  <c:v>-109842.62394901</c:v>
                </c:pt>
                <c:pt idx="10">
                  <c:v>-120230.977331746</c:v>
                </c:pt>
                <c:pt idx="11">
                  <c:v>-130524.114124099</c:v>
                </c:pt>
                <c:pt idx="12">
                  <c:v>-140726.786888397</c:v>
                </c:pt>
                <c:pt idx="13">
                  <c:v>-150843.515784576</c:v>
                </c:pt>
                <c:pt idx="14">
                  <c:v>-160878.596887131</c:v>
                </c:pt>
                <c:pt idx="15">
                  <c:v>-170836.112174117</c:v>
                </c:pt>
                <c:pt idx="16">
                  <c:v>-180719.939784882</c:v>
                </c:pt>
                <c:pt idx="17">
                  <c:v>-190533.764047529</c:v>
                </c:pt>
                <c:pt idx="18">
                  <c:v>-200281.085108971</c:v>
                </c:pt>
                <c:pt idx="19">
                  <c:v>-209965.228121728</c:v>
                </c:pt>
                <c:pt idx="20">
                  <c:v>-219589.351985462</c:v>
                </c:pt>
                <c:pt idx="21">
                  <c:v>-229156.457656602</c:v>
                </c:pt>
                <c:pt idx="22">
                  <c:v>-238669.396044404</c:v>
                </c:pt>
                <c:pt idx="23">
                  <c:v>-248130.875512897</c:v>
                </c:pt>
                <c:pt idx="24">
                  <c:v>-257543.469007994</c:v>
                </c:pt>
                <c:pt idx="25">
                  <c:v>-266909.620828348</c:v>
                </c:pt>
                <c:pt idx="26">
                  <c:v>-276231.653057687</c:v>
                </c:pt>
                <c:pt idx="27">
                  <c:v>-285511.771675561</c:v>
                </c:pt>
                <c:pt idx="28">
                  <c:v>-294752.072362542</c:v>
                </c:pt>
                <c:pt idx="29">
                  <c:v>-303954.546015175</c:v>
                </c:pt>
                <c:pt idx="30">
                  <c:v>-313121.083985175</c:v>
                </c:pt>
                <c:pt idx="31">
                  <c:v>-322253.483056676</c:v>
                </c:pt>
                <c:pt idx="32">
                  <c:v>-331353.450174601</c:v>
                </c:pt>
                <c:pt idx="33">
                  <c:v>-340422.606936631</c:v>
                </c:pt>
                <c:pt idx="34">
                  <c:v>-349462.493860559</c:v>
                </c:pt>
                <c:pt idx="35">
                  <c:v>-358474.57443829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Summary!H24</c:f>
              <c:strCache>
                <c:ptCount val="1"/>
                <c:pt idx="0">
                  <c:v>Cash Pessimistic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Summary!$H$25:$H$60</c:f>
              <c:numCache>
                <c:formatCode>#,##0;\(#,##0\);\-</c:formatCode>
                <c:ptCount val="36"/>
                <c:pt idx="0">
                  <c:v>-15842.006</c:v>
                </c:pt>
                <c:pt idx="1">
                  <c:v>-31713.8092094356</c:v>
                </c:pt>
                <c:pt idx="2">
                  <c:v>-47587.636512992</c:v>
                </c:pt>
                <c:pt idx="3">
                  <c:v>-63443.6680575615</c:v>
                </c:pt>
                <c:pt idx="4">
                  <c:v>-79273.1208363828</c:v>
                </c:pt>
                <c:pt idx="5">
                  <c:v>-95073.6482715025</c:v>
                </c:pt>
                <c:pt idx="6">
                  <c:v>-110845.647810607</c:v>
                </c:pt>
                <c:pt idx="7">
                  <c:v>-126590.506430283</c:v>
                </c:pt>
                <c:pt idx="8">
                  <c:v>-142309.898037486</c:v>
                </c:pt>
                <c:pt idx="9">
                  <c:v>-158005.521985486</c:v>
                </c:pt>
                <c:pt idx="10">
                  <c:v>-173679.011323406</c:v>
                </c:pt>
                <c:pt idx="11">
                  <c:v>-189331.904180919</c:v>
                </c:pt>
                <c:pt idx="12">
                  <c:v>-204965.638156652</c:v>
                </c:pt>
                <c:pt idx="13">
                  <c:v>-220581.552843717</c:v>
                </c:pt>
                <c:pt idx="14">
                  <c:v>-236180.895029968</c:v>
                </c:pt>
                <c:pt idx="15">
                  <c:v>-251764.824583581</c:v>
                </c:pt>
                <c:pt idx="16">
                  <c:v>-267334.420312733</c:v>
                </c:pt>
                <c:pt idx="17">
                  <c:v>-282890.685557139</c:v>
                </c:pt>
                <c:pt idx="18">
                  <c:v>-298434.553440431</c:v>
                </c:pt>
                <c:pt idx="19">
                  <c:v>-313966.891774098</c:v>
                </c:pt>
                <c:pt idx="20">
                  <c:v>-329488.50762522</c:v>
                </c:pt>
                <c:pt idx="21">
                  <c:v>-345000.151567061</c:v>
                </c:pt>
                <c:pt idx="22">
                  <c:v>-360502.521633083</c:v>
                </c:pt>
                <c:pt idx="23">
                  <c:v>-375996.266994524</c:v>
                </c:pt>
                <c:pt idx="24">
                  <c:v>-391481.991380679</c:v>
                </c:pt>
                <c:pt idx="25">
                  <c:v>-406960.256259809</c:v>
                </c:pt>
                <c:pt idx="26">
                  <c:v>-422431.583797401</c:v>
                </c:pt>
                <c:pt idx="27">
                  <c:v>-437896.459607363</c:v>
                </c:pt>
                <c:pt idx="28">
                  <c:v>-453355.335310628</c:v>
                </c:pt>
                <c:pt idx="29">
                  <c:v>-468808.630914664</c:v>
                </c:pt>
                <c:pt idx="30">
                  <c:v>-484256.737026418</c:v>
                </c:pt>
                <c:pt idx="31">
                  <c:v>-499700.016910349</c:v>
                </c:pt>
                <c:pt idx="32">
                  <c:v>-515138.808402405</c:v>
                </c:pt>
                <c:pt idx="33">
                  <c:v>-530573.425690017</c:v>
                </c:pt>
                <c:pt idx="34">
                  <c:v>-546004.160967497</c:v>
                </c:pt>
                <c:pt idx="35">
                  <c:v>-561431.285975552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Summary!I24</c:f>
              <c:strCache>
                <c:ptCount val="1"/>
                <c:pt idx="0">
                  <c:v>Cash Optimistic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Summary!$I$25:$I$60</c:f>
              <c:numCache>
                <c:formatCode>#,##0;\(#,##0\);\-</c:formatCode>
                <c:ptCount val="36"/>
                <c:pt idx="0">
                  <c:v>-6915.538</c:v>
                </c:pt>
                <c:pt idx="1">
                  <c:v>-13732.8995188712</c:v>
                </c:pt>
                <c:pt idx="2">
                  <c:v>-20355.3613989491</c:v>
                </c:pt>
                <c:pt idx="3">
                  <c:v>-26718.1172729241</c:v>
                </c:pt>
                <c:pt idx="4">
                  <c:v>-32793.8986940871</c:v>
                </c:pt>
                <c:pt idx="5">
                  <c:v>-38576.7474935745</c:v>
                </c:pt>
                <c:pt idx="6">
                  <c:v>-44069.8365587673</c:v>
                </c:pt>
                <c:pt idx="7">
                  <c:v>-49279.7566545549</c:v>
                </c:pt>
                <c:pt idx="8">
                  <c:v>-54214.2245491797</c:v>
                </c:pt>
                <c:pt idx="9">
                  <c:v>-58881.2168055032</c:v>
                </c:pt>
                <c:pt idx="10">
                  <c:v>-63288.6520175432</c:v>
                </c:pt>
                <c:pt idx="11">
                  <c:v>-67444.2780083814</c:v>
                </c:pt>
                <c:pt idx="12">
                  <c:v>-71355.63474677</c:v>
                </c:pt>
                <c:pt idx="13">
                  <c:v>-75030.0450464763</c:v>
                </c:pt>
                <c:pt idx="14">
                  <c:v>-78474.6153641838</c:v>
                </c:pt>
                <c:pt idx="15">
                  <c:v>-81696.240186958</c:v>
                </c:pt>
                <c:pt idx="16">
                  <c:v>-84701.6076175711</c:v>
                </c:pt>
                <c:pt idx="17">
                  <c:v>-87497.2052813756</c:v>
                </c:pt>
                <c:pt idx="18">
                  <c:v>-90089.3262359076</c:v>
                </c:pt>
                <c:pt idx="19">
                  <c:v>-92484.0747693972</c:v>
                </c:pt>
                <c:pt idx="20">
                  <c:v>-94687.3720496757</c:v>
                </c:pt>
                <c:pt idx="21">
                  <c:v>-96704.9616125736</c:v>
                </c:pt>
                <c:pt idx="22">
                  <c:v>-98542.4146889626</c:v>
                </c:pt>
                <c:pt idx="23">
                  <c:v>-100205.135373199</c:v>
                </c:pt>
                <c:pt idx="24">
                  <c:v>-101698.365636959</c:v>
                </c:pt>
                <c:pt idx="25">
                  <c:v>-103027.190192826</c:v>
                </c:pt>
                <c:pt idx="26">
                  <c:v>-104196.541212023</c:v>
                </c:pt>
                <c:pt idx="27">
                  <c:v>-105211.202900647</c:v>
                </c:pt>
                <c:pt idx="28">
                  <c:v>-106075.815938614</c:v>
                </c:pt>
                <c:pt idx="29">
                  <c:v>-106794.881785441</c:v>
                </c:pt>
                <c:pt idx="30">
                  <c:v>-107372.766856864</c:v>
                </c:pt>
                <c:pt idx="31">
                  <c:v>-107813.706576144</c:v>
                </c:pt>
                <c:pt idx="32">
                  <c:v>-108121.809303846</c:v>
                </c:pt>
                <c:pt idx="33">
                  <c:v>-108301.060149717</c:v>
                </c:pt>
                <c:pt idx="34">
                  <c:v>-108355.324670212</c:v>
                </c:pt>
                <c:pt idx="35">
                  <c:v>-108288.352455092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773431"/>
        <c:axId val="35975788"/>
      </c:lineChart>
      <c:catAx>
        <c:axId val="69773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975788"/>
        <c:crosses val="autoZero"/>
        <c:auto val="1"/>
        <c:lblAlgn val="ctr"/>
        <c:lblOffset val="100"/>
        <c:noMultiLvlLbl val="0"/>
      </c:catAx>
      <c:valAx>
        <c:axId val="359757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77343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Customers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Summary!J24</c:f>
              <c:strCache>
                <c:ptCount val="1"/>
                <c:pt idx="0">
                  <c:v>Units Founder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Summary!$J$25:$J$60</c:f>
              <c:numCache>
                <c:formatCode>#,##0</c:formatCode>
                <c:ptCount val="36"/>
                <c:pt idx="0">
                  <c:v>6</c:v>
                </c:pt>
                <c:pt idx="1">
                  <c:v>7</c:v>
                </c:pt>
                <c:pt idx="2">
                  <c:v>8.46211715726001</c:v>
                </c:pt>
                <c:pt idx="3">
                  <c:v>10.2237113132158</c:v>
                </c:pt>
                <c:pt idx="4">
                  <c:v>12.1288595668606</c:v>
                </c:pt>
                <c:pt idx="5">
                  <c:v>14.0928871469365</c:v>
                </c:pt>
                <c:pt idx="6">
                  <c:v>16.0795014450879</c:v>
                </c:pt>
                <c:pt idx="7">
                  <c:v>18.0745561987746</c:v>
                </c:pt>
                <c:pt idx="8">
                  <c:v>20.0727340963858</c:v>
                </c:pt>
                <c:pt idx="9">
                  <c:v>22.0720633961249</c:v>
                </c:pt>
                <c:pt idx="10">
                  <c:v>24.0718166069729</c:v>
                </c:pt>
                <c:pt idx="11">
                  <c:v>26.0717258112355</c:v>
                </c:pt>
                <c:pt idx="12">
                  <c:v>28.0716924083918</c:v>
                </c:pt>
                <c:pt idx="13">
                  <c:v>30.0716801200426</c:v>
                </c:pt>
                <c:pt idx="14">
                  <c:v>32.071675599394</c:v>
                </c:pt>
                <c:pt idx="15">
                  <c:v>34.071673936338</c:v>
                </c:pt>
                <c:pt idx="16">
                  <c:v>36.0716733245335</c:v>
                </c:pt>
                <c:pt idx="17">
                  <c:v>38.0716730994632</c:v>
                </c:pt>
                <c:pt idx="18">
                  <c:v>40.0716730166644</c:v>
                </c:pt>
                <c:pt idx="19">
                  <c:v>42.0716729862045</c:v>
                </c:pt>
                <c:pt idx="20">
                  <c:v>44.0716729749989</c:v>
                </c:pt>
                <c:pt idx="21">
                  <c:v>46.0716729708766</c:v>
                </c:pt>
                <c:pt idx="22">
                  <c:v>48.0716729693601</c:v>
                </c:pt>
                <c:pt idx="23">
                  <c:v>50.0716729688022</c:v>
                </c:pt>
                <c:pt idx="24">
                  <c:v>52.0716729685969</c:v>
                </c:pt>
                <c:pt idx="25">
                  <c:v>54.0716729685214</c:v>
                </c:pt>
                <c:pt idx="26">
                  <c:v>56.0716729684937</c:v>
                </c:pt>
                <c:pt idx="27">
                  <c:v>58.0716729684834</c:v>
                </c:pt>
                <c:pt idx="28">
                  <c:v>60.0716729684797</c:v>
                </c:pt>
                <c:pt idx="29">
                  <c:v>62.0716729684783</c:v>
                </c:pt>
                <c:pt idx="30">
                  <c:v>64.0716729684778</c:v>
                </c:pt>
                <c:pt idx="31">
                  <c:v>66.0716729684776</c:v>
                </c:pt>
                <c:pt idx="32">
                  <c:v>68.0716729684775</c:v>
                </c:pt>
                <c:pt idx="33">
                  <c:v>70.0716729684775</c:v>
                </c:pt>
                <c:pt idx="34">
                  <c:v>72.0716729684775</c:v>
                </c:pt>
                <c:pt idx="35">
                  <c:v>74.0716729684775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Summary!K24</c:f>
              <c:strCache>
                <c:ptCount val="1"/>
                <c:pt idx="0">
                  <c:v>Units Market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Summary!$K$25:$K$60</c:f>
              <c:numCache>
                <c:formatCode>#,##0</c:formatCode>
                <c:ptCount val="36"/>
                <c:pt idx="0">
                  <c:v>5.7</c:v>
                </c:pt>
                <c:pt idx="1">
                  <c:v>6.27</c:v>
                </c:pt>
                <c:pt idx="2">
                  <c:v>7.20661016945731</c:v>
                </c:pt>
                <c:pt idx="3">
                  <c:v>8.35244266432662</c:v>
                </c:pt>
                <c:pt idx="4">
                  <c:v>9.56372228797665</c:v>
                </c:pt>
                <c:pt idx="5">
                  <c:v>10.7647797545426</c:v>
                </c:pt>
                <c:pt idx="6">
                  <c:v>11.925095991735</c:v>
                </c:pt>
                <c:pt idx="7">
                  <c:v>13.0346130065504</c:v>
                </c:pt>
                <c:pt idx="8">
                  <c:v>14.0913244586804</c:v>
                </c:pt>
                <c:pt idx="9">
                  <c:v>15.0961847870233</c:v>
                </c:pt>
                <c:pt idx="10">
                  <c:v>16.0511645429472</c:v>
                </c:pt>
                <c:pt idx="11">
                  <c:v>16.9585286854444</c:v>
                </c:pt>
                <c:pt idx="12">
                  <c:v>17.8205736917408</c:v>
                </c:pt>
                <c:pt idx="13">
                  <c:v>18.6395345006152</c:v>
                </c:pt>
                <c:pt idx="14">
                  <c:v>19.4175539104299</c:v>
                </c:pt>
                <c:pt idx="15">
                  <c:v>20.1566747929954</c:v>
                </c:pt>
                <c:pt idx="16">
                  <c:v>20.8588405302529</c:v>
                </c:pt>
                <c:pt idx="17">
                  <c:v>21.5258983113051</c:v>
                </c:pt>
                <c:pt idx="18">
                  <c:v>22.1596033249469</c:v>
                </c:pt>
                <c:pt idx="19">
                  <c:v>22.7616231326563</c:v>
                </c:pt>
                <c:pt idx="20">
                  <c:v>23.3335419664427</c:v>
                </c:pt>
                <c:pt idx="21">
                  <c:v>23.876864864596</c:v>
                </c:pt>
                <c:pt idx="22">
                  <c:v>24.3930216200696</c:v>
                </c:pt>
                <c:pt idx="23">
                  <c:v>24.8833705385891</c:v>
                </c:pt>
                <c:pt idx="24">
                  <c:v>25.3492020114842</c:v>
                </c:pt>
                <c:pt idx="25">
                  <c:v>25.7917419108454</c:v>
                </c:pt>
                <c:pt idx="26">
                  <c:v>26.2121548152794</c:v>
                </c:pt>
                <c:pt idx="27">
                  <c:v>26.6115470745067</c:v>
                </c:pt>
                <c:pt idx="28">
                  <c:v>26.9909697207781</c:v>
                </c:pt>
                <c:pt idx="29">
                  <c:v>27.351421234738</c:v>
                </c:pt>
                <c:pt idx="30">
                  <c:v>27.6938501730007</c:v>
                </c:pt>
                <c:pt idx="31">
                  <c:v>28.0191576643505</c:v>
                </c:pt>
                <c:pt idx="32">
                  <c:v>28.3281997811329</c:v>
                </c:pt>
                <c:pt idx="33">
                  <c:v>28.6217897920762</c:v>
                </c:pt>
                <c:pt idx="34">
                  <c:v>28.9007003024724</c:v>
                </c:pt>
                <c:pt idx="35">
                  <c:v>29.1656652873488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Summary!L24</c:f>
              <c:strCache>
                <c:ptCount val="1"/>
                <c:pt idx="0">
                  <c:v>Units Pessimistic</c:v>
                </c:pt>
              </c:strCache>
            </c:strRef>
          </c:tx>
          <c:spPr>
            <a:solidFill>
              <a:srgbClr val="98B855"/>
            </a:solidFill>
            <a:ln w="1260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Summary!$L$25:$L$60</c:f>
              <c:numCache>
                <c:formatCode>#,##0</c:formatCode>
                <c:ptCount val="36"/>
                <c:pt idx="0">
                  <c:v>5.58</c:v>
                </c:pt>
                <c:pt idx="1">
                  <c:v>5.7474</c:v>
                </c:pt>
                <c:pt idx="2">
                  <c:v>6.16094337375109</c:v>
                </c:pt>
                <c:pt idx="3">
                  <c:v>6.71264687661183</c:v>
                </c:pt>
                <c:pt idx="4">
                  <c:v>7.30583432078283</c:v>
                </c:pt>
                <c:pt idx="5">
                  <c:v>7.89035330801034</c:v>
                </c:pt>
                <c:pt idx="6">
                  <c:v>8.44655935481811</c:v>
                </c:pt>
                <c:pt idx="7">
                  <c:v>8.96854075253804</c:v>
                </c:pt>
                <c:pt idx="8">
                  <c:v>9.45572616672743</c:v>
                </c:pt>
                <c:pt idx="9">
                  <c:v>9.90945108431091</c:v>
                </c:pt>
                <c:pt idx="10">
                  <c:v>10.3316518000623</c:v>
                </c:pt>
                <c:pt idx="11">
                  <c:v>10.7243855100365</c:v>
                </c:pt>
                <c:pt idx="12">
                  <c:v>11.0896598855472</c:v>
                </c:pt>
                <c:pt idx="13">
                  <c:v>11.42937683666</c:v>
                </c:pt>
                <c:pt idx="14">
                  <c:v>11.7453179355719</c:v>
                </c:pt>
                <c:pt idx="15">
                  <c:v>12.0391447520966</c:v>
                </c:pt>
                <c:pt idx="16">
                  <c:v>12.3124042780629</c:v>
                </c:pt>
                <c:pt idx="17">
                  <c:v>12.5665358530093</c:v>
                </c:pt>
                <c:pt idx="18">
                  <c:v>12.8028782970969</c:v>
                </c:pt>
                <c:pt idx="19">
                  <c:v>13.0226767993035</c:v>
                </c:pt>
                <c:pt idx="20">
                  <c:v>13.2270894170995</c:v>
                </c:pt>
                <c:pt idx="21">
                  <c:v>13.4171931556023</c:v>
                </c:pt>
                <c:pt idx="22">
                  <c:v>13.5939896338639</c:v>
                </c:pt>
                <c:pt idx="23">
                  <c:v>13.7584103591822</c:v>
                </c:pt>
                <c:pt idx="24">
                  <c:v>13.9113216339249</c:v>
                </c:pt>
                <c:pt idx="25">
                  <c:v>14.053529119508</c:v>
                </c:pt>
                <c:pt idx="26">
                  <c:v>14.1857820811269</c:v>
                </c:pt>
                <c:pt idx="27">
                  <c:v>14.3087773354424</c:v>
                </c:pt>
                <c:pt idx="28">
                  <c:v>14.4231629219593</c:v>
                </c:pt>
                <c:pt idx="29">
                  <c:v>14.5295415174214</c:v>
                </c:pt>
                <c:pt idx="30">
                  <c:v>14.6284736112016</c:v>
                </c:pt>
                <c:pt idx="31">
                  <c:v>14.7204804584174</c:v>
                </c:pt>
                <c:pt idx="32">
                  <c:v>14.8060468263281</c:v>
                </c:pt>
                <c:pt idx="33">
                  <c:v>14.8856235484851</c:v>
                </c:pt>
                <c:pt idx="34">
                  <c:v>14.9596299000912</c:v>
                </c:pt>
                <c:pt idx="35">
                  <c:v>15.0284558070848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Summary!M24</c:f>
              <c:strCache>
                <c:ptCount val="1"/>
                <c:pt idx="0">
                  <c:v>Units Optimistic</c:v>
                </c:pt>
              </c:strCache>
            </c:strRef>
          </c:tx>
          <c:spPr>
            <a:solidFill>
              <a:srgbClr val="7D5FA0"/>
            </a:solidFill>
            <a:ln w="1260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Summary!$A$25:$A$60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Summary!$M$25:$M$60</c:f>
              <c:numCache>
                <c:formatCode>#,##0</c:formatCode>
                <c:ptCount val="36"/>
                <c:pt idx="0">
                  <c:v>5.82</c:v>
                </c:pt>
                <c:pt idx="1">
                  <c:v>6.8094</c:v>
                </c:pt>
                <c:pt idx="2">
                  <c:v>8.30702237105065</c:v>
                </c:pt>
                <c:pt idx="3">
                  <c:v>10.1083072974516</c:v>
                </c:pt>
                <c:pt idx="4">
                  <c:v>12.0226506457707</c:v>
                </c:pt>
                <c:pt idx="5">
                  <c:v>13.9480992296058</c:v>
                </c:pt>
                <c:pt idx="6">
                  <c:v>15.8420752957659</c:v>
                </c:pt>
                <c:pt idx="7">
                  <c:v>17.6890567701843</c:v>
                </c:pt>
                <c:pt idx="8">
                  <c:v>19.4842641398982</c:v>
                </c:pt>
                <c:pt idx="9">
                  <c:v>21.2269555205975</c:v>
                </c:pt>
                <c:pt idx="10">
                  <c:v>22.9178595924067</c:v>
                </c:pt>
                <c:pt idx="11">
                  <c:v>24.5582181183962</c:v>
                </c:pt>
                <c:pt idx="12">
                  <c:v>26.1494326939342</c:v>
                </c:pt>
                <c:pt idx="13">
                  <c:v>27.6929354094777</c:v>
                </c:pt>
                <c:pt idx="14">
                  <c:v>29.1901420851584</c:v>
                </c:pt>
                <c:pt idx="15">
                  <c:v>30.6424358868064</c:v>
                </c:pt>
                <c:pt idx="16">
                  <c:v>32.0511620980619</c:v>
                </c:pt>
                <c:pt idx="17">
                  <c:v>33.4176269731381</c:v>
                </c:pt>
                <c:pt idx="18">
                  <c:v>34.7430980675662</c:v>
                </c:pt>
                <c:pt idx="19">
                  <c:v>36.0288050900839</c:v>
                </c:pt>
                <c:pt idx="20">
                  <c:v>37.275940924338</c:v>
                </c:pt>
                <c:pt idx="21">
                  <c:v>38.4856626918095</c:v>
                </c:pt>
                <c:pt idx="22">
                  <c:v>39.65909280929</c:v>
                </c:pt>
                <c:pt idx="23">
                  <c:v>40.7973200243619</c:v>
                </c:pt>
                <c:pt idx="24">
                  <c:v>41.9014004233922</c:v>
                </c:pt>
                <c:pt idx="25">
                  <c:v>42.9723584106025</c:v>
                </c:pt>
                <c:pt idx="26">
                  <c:v>44.0111876582521</c:v>
                </c:pt>
                <c:pt idx="27">
                  <c:v>45.0188520284927</c:v>
                </c:pt>
                <c:pt idx="28">
                  <c:v>45.9962864676335</c:v>
                </c:pt>
                <c:pt idx="29">
                  <c:v>46.9443978736029</c:v>
                </c:pt>
                <c:pt idx="30">
                  <c:v>47.8640659373942</c:v>
                </c:pt>
                <c:pt idx="31">
                  <c:v>48.7561439592722</c:v>
                </c:pt>
                <c:pt idx="32">
                  <c:v>49.6214596404939</c:v>
                </c:pt>
                <c:pt idx="33">
                  <c:v>50.4608158512791</c:v>
                </c:pt>
                <c:pt idx="34">
                  <c:v>51.2749913757407</c:v>
                </c:pt>
                <c:pt idx="35">
                  <c:v>52.0647416344685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713010"/>
        <c:axId val="43923459"/>
      </c:lineChart>
      <c:catAx>
        <c:axId val="447130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923459"/>
        <c:crosses val="autoZero"/>
        <c:auto val="1"/>
        <c:lblAlgn val="ctr"/>
        <c:lblOffset val="100"/>
        <c:noMultiLvlLbl val="0"/>
      </c:catAx>
      <c:valAx>
        <c:axId val="439234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71301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3</xdr:row>
      <xdr:rowOff>0</xdr:rowOff>
    </xdr:from>
    <xdr:to>
      <xdr:col>22</xdr:col>
      <xdr:colOff>507600</xdr:colOff>
      <xdr:row>14</xdr:row>
      <xdr:rowOff>175320</xdr:rowOff>
    </xdr:to>
    <xdr:graphicFrame>
      <xdr:nvGraphicFramePr>
        <xdr:cNvPr id="1" name="Chart 1"/>
        <xdr:cNvGraphicFramePr/>
      </xdr:nvGraphicFramePr>
      <xdr:xfrm>
        <a:off x="15179040" y="6012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19</xdr:row>
      <xdr:rowOff>0</xdr:rowOff>
    </xdr:from>
    <xdr:to>
      <xdr:col>22</xdr:col>
      <xdr:colOff>507600</xdr:colOff>
      <xdr:row>33</xdr:row>
      <xdr:rowOff>32760</xdr:rowOff>
    </xdr:to>
    <xdr:graphicFrame>
      <xdr:nvGraphicFramePr>
        <xdr:cNvPr id="2" name="Chart 2"/>
        <xdr:cNvGraphicFramePr/>
      </xdr:nvGraphicFramePr>
      <xdr:xfrm>
        <a:off x="15179040" y="40780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0</xdr:colOff>
      <xdr:row>35</xdr:row>
      <xdr:rowOff>0</xdr:rowOff>
    </xdr:from>
    <xdr:to>
      <xdr:col>22</xdr:col>
      <xdr:colOff>507600</xdr:colOff>
      <xdr:row>49</xdr:row>
      <xdr:rowOff>32400</xdr:rowOff>
    </xdr:to>
    <xdr:graphicFrame>
      <xdr:nvGraphicFramePr>
        <xdr:cNvPr id="3" name="Chart 3"/>
        <xdr:cNvGraphicFramePr/>
      </xdr:nvGraphicFramePr>
      <xdr:xfrm>
        <a:off x="15179040" y="71258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2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tr">
        <f aca="false">IF(ISNUMBER(Founder!B11),TEXT(Founder!B11,"0.0")&amp;"×","n/a")&amp;" | "&amp;IF(ISNUMBER(Market!B11),TEXT(Market!B11,"0.0")&amp;"×","n/a")</f>
        <v>80.8× | 19.4×</v>
      </c>
      <c r="B4" s="3"/>
      <c r="C4" s="3" t="str">
        <f aca="false">Founder!B12&amp;" | "&amp;Market!B12</f>
        <v>2 | 2</v>
      </c>
      <c r="D4" s="3"/>
      <c r="E4" s="3" t="str">
        <f aca="false">Founder!B53&amp;" | "&amp;Market!B53</f>
        <v>22 | none</v>
      </c>
      <c r="F4" s="3"/>
      <c r="G4" s="3" t="str">
        <f aca="false">TEXT(Founder!B54,"#,##0")&amp;" | "&amp;TEXT(Market!B54,"#,##0")</f>
        <v>60,310 | 358,475</v>
      </c>
      <c r="H4" s="3"/>
      <c r="I4" s="3" t="str">
        <f aca="false">TEXT(Founder!F51,"#,##0")&amp;" | "&amp;TEXT(Market!F51,"#,##0")</f>
        <v>11,037 | 3,922</v>
      </c>
      <c r="J4" s="3"/>
      <c r="K4" s="4" t="n">
        <f aca="false">IF(Market!B4*Market!B10&gt;0,3*Market!B7/(Market!B10/Market!B3),0)</f>
        <v>20.7427520166785</v>
      </c>
      <c r="L4" s="4"/>
    </row>
    <row r="5" customFormat="false" ht="33.75" hidden="false" customHeight="true" outlineLevel="0" collapsed="false">
      <c r="A5" s="5" t="s">
        <v>2</v>
      </c>
      <c r="B5" s="5"/>
      <c r="C5" s="5" t="s">
        <v>3</v>
      </c>
      <c r="D5" s="5"/>
      <c r="E5" s="5" t="s">
        <v>4</v>
      </c>
      <c r="F5" s="5"/>
      <c r="G5" s="5" t="s">
        <v>5</v>
      </c>
      <c r="H5" s="5"/>
      <c r="I5" s="5" t="s">
        <v>6</v>
      </c>
      <c r="J5" s="5"/>
      <c r="K5" s="5" t="s">
        <v>7</v>
      </c>
      <c r="L5" s="5"/>
    </row>
    <row r="7" customFormat="false" ht="15" hidden="false" customHeight="false" outlineLevel="0" collapsed="false">
      <c r="A7" s="6" t="s">
        <v>8</v>
      </c>
      <c r="B7" s="6" t="s">
        <v>9</v>
      </c>
      <c r="C7" s="6" t="s">
        <v>10</v>
      </c>
      <c r="D7" s="6" t="s">
        <v>11</v>
      </c>
      <c r="E7" s="6" t="s">
        <v>12</v>
      </c>
    </row>
    <row r="8" customFormat="false" ht="15" hidden="false" customHeight="false" outlineLevel="0" collapsed="false">
      <c r="A8" s="0" t="s">
        <v>13</v>
      </c>
      <c r="B8" s="7" t="n">
        <f aca="false">Founder!B7</f>
        <v>100</v>
      </c>
      <c r="C8" s="7" t="n">
        <f aca="false">Market!B7</f>
        <v>100</v>
      </c>
      <c r="D8" s="7" t="n">
        <f aca="false">Pessimistic!B7</f>
        <v>100</v>
      </c>
      <c r="E8" s="7" t="n">
        <f aca="false">Optimistic!B7</f>
        <v>100</v>
      </c>
    </row>
    <row r="9" customFormat="false" ht="15" hidden="false" customHeight="false" outlineLevel="0" collapsed="false">
      <c r="A9" s="0" t="s">
        <v>14</v>
      </c>
      <c r="B9" s="7" t="n">
        <f aca="false">Founder!B10</f>
        <v>8078.929</v>
      </c>
      <c r="C9" s="7" t="n">
        <f aca="false">Market!B10</f>
        <v>1938.02635097197</v>
      </c>
      <c r="D9" s="7" t="n">
        <f aca="false">Pessimistic!B10</f>
        <v>907.976338464693</v>
      </c>
      <c r="E9" s="7" t="n">
        <f aca="false">Optimistic!B10</f>
        <v>4102.6101880606</v>
      </c>
    </row>
    <row r="10" customFormat="false" ht="15" hidden="false" customHeight="false" outlineLevel="0" collapsed="false">
      <c r="A10" s="0" t="s">
        <v>15</v>
      </c>
      <c r="B10" s="8" t="n">
        <f aca="false">Founder!B11</f>
        <v>80.78929</v>
      </c>
      <c r="C10" s="8" t="n">
        <f aca="false">Market!B11</f>
        <v>19.3802635097197</v>
      </c>
      <c r="D10" s="8" t="n">
        <f aca="false">Pessimistic!B11</f>
        <v>9.07976338464693</v>
      </c>
      <c r="E10" s="8" t="n">
        <f aca="false">Optimistic!B11</f>
        <v>41.026101880606</v>
      </c>
    </row>
    <row r="11" customFormat="false" ht="15" hidden="false" customHeight="false" outlineLevel="0" collapsed="false">
      <c r="A11" s="0" t="s">
        <v>16</v>
      </c>
      <c r="B11" s="9" t="n">
        <f aca="false">Founder!B12</f>
        <v>2</v>
      </c>
      <c r="C11" s="9" t="n">
        <f aca="false">Market!B12</f>
        <v>2</v>
      </c>
      <c r="D11" s="9" t="n">
        <f aca="false">Pessimistic!B12</f>
        <v>3</v>
      </c>
      <c r="E11" s="9" t="n">
        <f aca="false">Optimistic!B12</f>
        <v>2</v>
      </c>
    </row>
    <row r="12" customFormat="false" ht="15" hidden="false" customHeight="false" outlineLevel="0" collapsed="false">
      <c r="A12" s="0" t="s">
        <v>17</v>
      </c>
      <c r="B12" s="10" t="n">
        <f aca="false">Founder!B4</f>
        <v>0.919</v>
      </c>
      <c r="C12" s="10" t="n">
        <f aca="false">Market!B4</f>
        <v>0.8</v>
      </c>
      <c r="D12" s="10" t="n">
        <f aca="false">Pessimistic!B4</f>
        <v>0.7</v>
      </c>
      <c r="E12" s="10" t="n">
        <f aca="false">Optimistic!B4</f>
        <v>0.9</v>
      </c>
    </row>
    <row r="13" customFormat="false" ht="15" hidden="false" customHeight="false" outlineLevel="0" collapsed="false">
      <c r="A13" s="0" t="s">
        <v>18</v>
      </c>
      <c r="B13" s="9" t="n">
        <f aca="false">Founder!B53</f>
        <v>22</v>
      </c>
      <c r="C13" s="9" t="str">
        <f aca="false">Market!B53</f>
        <v>none</v>
      </c>
      <c r="D13" s="9" t="str">
        <f aca="false">Pessimistic!B53</f>
        <v>none</v>
      </c>
      <c r="E13" s="9" t="n">
        <f aca="false">Optimistic!B53</f>
        <v>36</v>
      </c>
    </row>
    <row r="14" customFormat="false" ht="15" hidden="false" customHeight="false" outlineLevel="0" collapsed="false">
      <c r="A14" s="0" t="s">
        <v>19</v>
      </c>
      <c r="B14" s="7" t="n">
        <f aca="false">Founder!B54</f>
        <v>60309.9647081725</v>
      </c>
      <c r="C14" s="7" t="n">
        <f aca="false">Market!B54</f>
        <v>358474.57443829</v>
      </c>
      <c r="D14" s="7" t="n">
        <f aca="false">Pessimistic!B54</f>
        <v>561431.285975552</v>
      </c>
      <c r="E14" s="7" t="n">
        <f aca="false">Optimistic!B54</f>
        <v>108355.324670212</v>
      </c>
    </row>
    <row r="15" customFormat="false" ht="15" hidden="false" customHeight="false" outlineLevel="0" collapsed="false">
      <c r="A15" s="0" t="s">
        <v>20</v>
      </c>
      <c r="B15" s="7" t="n">
        <f aca="false">Founder!F27</f>
        <v>3884.68714587409</v>
      </c>
      <c r="C15" s="7" t="n">
        <f aca="false">Market!F27</f>
        <v>2321.07525173918</v>
      </c>
      <c r="D15" s="7" t="n">
        <f aca="false">Pessimistic!F27</f>
        <v>1187.29305473742</v>
      </c>
      <c r="E15" s="7" t="n">
        <f aca="false">Optimistic!F27</f>
        <v>4067.0777786895</v>
      </c>
    </row>
    <row r="16" customFormat="false" ht="15" hidden="false" customHeight="false" outlineLevel="0" collapsed="false">
      <c r="A16" s="0" t="s">
        <v>21</v>
      </c>
      <c r="B16" s="7" t="n">
        <f aca="false">Founder!F39</f>
        <v>7460.67927235152</v>
      </c>
      <c r="C16" s="7" t="n">
        <f aca="false">Market!F39</f>
        <v>3360.65066436143</v>
      </c>
      <c r="D16" s="7" t="n">
        <f aca="false">Pessimistic!F39</f>
        <v>1414.64948363806</v>
      </c>
      <c r="E16" s="7" t="n">
        <f aca="false">Optimistic!F39</f>
        <v>6836.97701748776</v>
      </c>
    </row>
    <row r="17" customFormat="false" ht="15" hidden="false" customHeight="false" outlineLevel="0" collapsed="false">
      <c r="A17" s="0" t="s">
        <v>22</v>
      </c>
      <c r="B17" s="7" t="n">
        <f aca="false">Founder!F51</f>
        <v>11036.6792723031</v>
      </c>
      <c r="C17" s="7" t="n">
        <f aca="false">Market!F51</f>
        <v>3922.39927783568</v>
      </c>
      <c r="D17" s="7" t="n">
        <f aca="false">Pessimistic!F51</f>
        <v>1509.8214170634</v>
      </c>
      <c r="E17" s="7" t="n">
        <f aca="false">Optimistic!F51</f>
        <v>8758.85801680016</v>
      </c>
    </row>
    <row r="18" customFormat="false" ht="15" hidden="false" customHeight="false" outlineLevel="0" collapsed="false">
      <c r="A18" s="0" t="s">
        <v>23</v>
      </c>
      <c r="B18" s="11" t="n">
        <f aca="false">Founder!D51</f>
        <v>74.0716729684775</v>
      </c>
      <c r="C18" s="11" t="n">
        <f aca="false">Market!D51</f>
        <v>29.1656652873488</v>
      </c>
      <c r="D18" s="11" t="n">
        <f aca="false">Pessimistic!D51</f>
        <v>15.0284558070848</v>
      </c>
      <c r="E18" s="11" t="n">
        <f aca="false">Optimistic!D51</f>
        <v>52.0647416344685</v>
      </c>
    </row>
    <row r="19" customFormat="false" ht="15" hidden="false" customHeight="false" outlineLevel="0" collapsed="false">
      <c r="A19" s="0" t="s">
        <v>24</v>
      </c>
      <c r="B19" s="11" t="n">
        <f aca="false">Founder!B55</f>
        <v>75.36</v>
      </c>
      <c r="C19" s="11" t="n">
        <f aca="false">Market!B55</f>
        <v>75.36</v>
      </c>
      <c r="D19" s="11" t="n">
        <f aca="false">Pessimistic!B55</f>
        <v>37.68</v>
      </c>
      <c r="E19" s="11" t="n">
        <f aca="false">Optimistic!B55</f>
        <v>113.04</v>
      </c>
    </row>
    <row r="20" customFormat="false" ht="15" hidden="false" customHeight="false" outlineLevel="0" collapsed="false">
      <c r="A20" s="0" t="s">
        <v>25</v>
      </c>
      <c r="B20" s="12" t="n">
        <f aca="false">Founder!B57</f>
        <v>0.98290436529296</v>
      </c>
      <c r="C20" s="12" t="n">
        <f aca="false">Market!B57</f>
        <v>0.387017851477558</v>
      </c>
      <c r="D20" s="12" t="n">
        <f aca="false">Pessimistic!B57</f>
        <v>0.398844368553206</v>
      </c>
      <c r="E20" s="12" t="n">
        <f aca="false">Optimistic!B57</f>
        <v>0.460586886362955</v>
      </c>
    </row>
    <row r="21" customFormat="false" ht="15" hidden="false" customHeight="false" outlineLevel="0" collapsed="false">
      <c r="A21" s="0" t="s">
        <v>26</v>
      </c>
      <c r="B21" s="13" t="str">
        <f aca="false">Founder!B58</f>
        <v>within_range</v>
      </c>
      <c r="C21" s="13" t="str">
        <f aca="false">Market!B58</f>
        <v>within_range</v>
      </c>
      <c r="D21" s="13" t="str">
        <f aca="false">Pessimistic!B58</f>
        <v>within_range</v>
      </c>
      <c r="E21" s="13" t="str">
        <f aca="false">Optimistic!B58</f>
        <v>within_range</v>
      </c>
    </row>
    <row r="24" customFormat="false" ht="15" hidden="false" customHeight="false" outlineLevel="0" collapsed="false">
      <c r="A24" s="14" t="s">
        <v>27</v>
      </c>
      <c r="B24" s="14" t="s">
        <v>28</v>
      </c>
      <c r="C24" s="14" t="s">
        <v>29</v>
      </c>
      <c r="D24" s="14" t="s">
        <v>30</v>
      </c>
      <c r="E24" s="14" t="s">
        <v>31</v>
      </c>
      <c r="F24" s="14" t="s">
        <v>32</v>
      </c>
      <c r="G24" s="14" t="s">
        <v>33</v>
      </c>
      <c r="H24" s="14" t="s">
        <v>34</v>
      </c>
      <c r="I24" s="14" t="s">
        <v>35</v>
      </c>
      <c r="J24" s="14" t="s">
        <v>36</v>
      </c>
      <c r="K24" s="14" t="s">
        <v>37</v>
      </c>
      <c r="L24" s="14" t="s">
        <v>38</v>
      </c>
      <c r="M24" s="14" t="s">
        <v>39</v>
      </c>
    </row>
    <row r="25" customFormat="false" ht="15" hidden="false" customHeight="false" outlineLevel="0" collapsed="false">
      <c r="A25" s="0" t="n">
        <v>1</v>
      </c>
      <c r="B25" s="15" t="n">
        <f aca="false">Founder!F16</f>
        <v>894</v>
      </c>
      <c r="C25" s="15" t="n">
        <f aca="false">Market!F16</f>
        <v>849.3</v>
      </c>
      <c r="D25" s="15" t="n">
        <f aca="false">Pessimistic!F16</f>
        <v>831.42</v>
      </c>
      <c r="E25" s="15" t="n">
        <f aca="false">Optimistic!F16</f>
        <v>867.18</v>
      </c>
      <c r="F25" s="15" t="n">
        <f aca="false">Founder!K16</f>
        <v>-5278.414</v>
      </c>
      <c r="G25" s="15" t="n">
        <f aca="false">Market!K16</f>
        <v>-11380.56</v>
      </c>
      <c r="H25" s="15" t="n">
        <f aca="false">Pessimistic!K16</f>
        <v>-15842.006</v>
      </c>
      <c r="I25" s="15" t="n">
        <f aca="false">Optimistic!K16</f>
        <v>-6915.538</v>
      </c>
      <c r="J25" s="16" t="n">
        <f aca="false">Founder!D16</f>
        <v>6</v>
      </c>
      <c r="K25" s="16" t="n">
        <f aca="false">Market!D16</f>
        <v>5.7</v>
      </c>
      <c r="L25" s="16" t="n">
        <f aca="false">Pessimistic!D16</f>
        <v>5.58</v>
      </c>
      <c r="M25" s="16" t="n">
        <f aca="false">Optimistic!D16</f>
        <v>5.82</v>
      </c>
    </row>
    <row r="26" customFormat="false" ht="15" hidden="false" customHeight="false" outlineLevel="0" collapsed="false">
      <c r="A26" s="0" t="n">
        <v>2</v>
      </c>
      <c r="B26" s="15" t="n">
        <f aca="false">Founder!F17</f>
        <v>1043</v>
      </c>
      <c r="C26" s="15" t="n">
        <f aca="false">Market!F17</f>
        <v>921.405</v>
      </c>
      <c r="D26" s="15" t="n">
        <f aca="false">Pessimistic!F17</f>
        <v>828.4626</v>
      </c>
      <c r="E26" s="15" t="n">
        <f aca="false">Optimistic!F17</f>
        <v>1037.8806</v>
      </c>
      <c r="F26" s="15" t="n">
        <f aca="false">Founder!K17</f>
        <v>-10466.108715726</v>
      </c>
      <c r="G26" s="15" t="n">
        <f aca="false">Market!K17</f>
        <v>-22745.0265441534</v>
      </c>
      <c r="H26" s="15" t="n">
        <f aca="false">Pessimistic!K17</f>
        <v>-31713.8092094356</v>
      </c>
      <c r="I26" s="15" t="n">
        <f aca="false">Optimistic!K17</f>
        <v>-13732.8995188712</v>
      </c>
      <c r="J26" s="16" t="n">
        <f aca="false">Founder!D17</f>
        <v>7</v>
      </c>
      <c r="K26" s="16" t="n">
        <f aca="false">Market!D17</f>
        <v>6.27</v>
      </c>
      <c r="L26" s="16" t="n">
        <f aca="false">Pessimistic!D17</f>
        <v>5.7474</v>
      </c>
      <c r="M26" s="16" t="n">
        <f aca="false">Optimistic!D17</f>
        <v>6.8094</v>
      </c>
    </row>
    <row r="27" customFormat="false" ht="15" hidden="false" customHeight="false" outlineLevel="0" collapsed="false">
      <c r="A27" s="0" t="n">
        <v>3</v>
      </c>
      <c r="B27" s="15" t="n">
        <f aca="false">Founder!F18</f>
        <v>1260.85545643174</v>
      </c>
      <c r="C27" s="15" t="n">
        <f aca="false">Market!F18</f>
        <v>1042.84951270728</v>
      </c>
      <c r="D27" s="15" t="n">
        <f aca="false">Pessimistic!F18</f>
        <v>851.240494001357</v>
      </c>
      <c r="E27" s="15" t="n">
        <f aca="false">Optimistic!F18</f>
        <v>1294.36602070756</v>
      </c>
      <c r="F27" s="15" t="n">
        <f aca="false">Founder!K18</f>
        <v>-15483.5419668608</v>
      </c>
      <c r="G27" s="15" t="n">
        <f aca="false">Market!K18</f>
        <v>-34039.2904080236</v>
      </c>
      <c r="H27" s="15" t="n">
        <f aca="false">Pessimistic!K18</f>
        <v>-47587.636512992</v>
      </c>
      <c r="I27" s="15" t="n">
        <f aca="false">Optimistic!K18</f>
        <v>-20355.3613989491</v>
      </c>
      <c r="J27" s="16" t="n">
        <f aca="false">Founder!D18</f>
        <v>8.46211715726001</v>
      </c>
      <c r="K27" s="16" t="n">
        <f aca="false">Market!D18</f>
        <v>7.20661016945731</v>
      </c>
      <c r="L27" s="16" t="n">
        <f aca="false">Pessimistic!D18</f>
        <v>6.16094337375109</v>
      </c>
      <c r="M27" s="16" t="n">
        <f aca="false">Optimistic!D18</f>
        <v>8.30702237105065</v>
      </c>
    </row>
    <row r="28" customFormat="false" ht="15" hidden="false" customHeight="false" outlineLevel="0" collapsed="false">
      <c r="A28" s="0" t="n">
        <v>4</v>
      </c>
      <c r="B28" s="15" t="n">
        <f aca="false">Founder!F19</f>
        <v>1523.33298566915</v>
      </c>
      <c r="C28" s="15" t="n">
        <f aca="false">Market!F19</f>
        <v>1192.53287951977</v>
      </c>
      <c r="D28" s="15" t="n">
        <f aca="false">Pessimistic!F19</f>
        <v>888.967643784571</v>
      </c>
      <c r="E28" s="15" t="n">
        <f aca="false">Optimistic!F19</f>
        <v>1602.06879606933</v>
      </c>
      <c r="F28" s="15" t="n">
        <f aca="false">Founder!K19</f>
        <v>-20274.1137783953</v>
      </c>
      <c r="G28" s="15" t="n">
        <f aca="false">Market!K19</f>
        <v>-45226.7274472358</v>
      </c>
      <c r="H28" s="15" t="n">
        <f aca="false">Pessimistic!K19</f>
        <v>-63443.6680575615</v>
      </c>
      <c r="I28" s="15" t="n">
        <f aca="false">Optimistic!K19</f>
        <v>-26718.1172729241</v>
      </c>
      <c r="J28" s="16" t="n">
        <f aca="false">Founder!D19</f>
        <v>10.2237113132158</v>
      </c>
      <c r="K28" s="16" t="n">
        <f aca="false">Market!D19</f>
        <v>8.35244266432662</v>
      </c>
      <c r="L28" s="16" t="n">
        <f aca="false">Pessimistic!D19</f>
        <v>6.71264687661183</v>
      </c>
      <c r="M28" s="16" t="n">
        <f aca="false">Optimistic!D19</f>
        <v>10.1083072974516</v>
      </c>
    </row>
    <row r="29" customFormat="false" ht="15" hidden="false" customHeight="false" outlineLevel="0" collapsed="false">
      <c r="A29" s="0" t="n">
        <v>5</v>
      </c>
      <c r="B29" s="15" t="n">
        <f aca="false">Founder!F20</f>
        <v>1807.20007546224</v>
      </c>
      <c r="C29" s="15" t="n">
        <f aca="false">Market!F20</f>
        <v>1351.17907096387</v>
      </c>
      <c r="D29" s="15" t="n">
        <f aca="false">Pessimistic!F20</f>
        <v>931.9841085475</v>
      </c>
      <c r="E29" s="15" t="n">
        <f aca="false">Optimistic!F20</f>
        <v>1928.77987605125</v>
      </c>
      <c r="F29" s="15" t="n">
        <f aca="false">Founder!K20</f>
        <v>-24809.6996670531</v>
      </c>
      <c r="G29" s="15" t="n">
        <f aca="false">Market!K20</f>
        <v>-56292.5466726715</v>
      </c>
      <c r="H29" s="15" t="n">
        <f aca="false">Pessimistic!K20</f>
        <v>-79273.1208363828</v>
      </c>
      <c r="I29" s="15" t="n">
        <f aca="false">Optimistic!K20</f>
        <v>-32793.8986940871</v>
      </c>
      <c r="J29" s="16" t="n">
        <f aca="false">Founder!D20</f>
        <v>12.1288595668606</v>
      </c>
      <c r="K29" s="16" t="n">
        <f aca="false">Market!D20</f>
        <v>9.56372228797665</v>
      </c>
      <c r="L29" s="16" t="n">
        <f aca="false">Pessimistic!D20</f>
        <v>7.30583432078283</v>
      </c>
      <c r="M29" s="16" t="n">
        <f aca="false">Optimistic!D20</f>
        <v>12.0226506457707</v>
      </c>
    </row>
    <row r="30" customFormat="false" ht="15" hidden="false" customHeight="false" outlineLevel="0" collapsed="false">
      <c r="A30" s="0" t="n">
        <v>6</v>
      </c>
      <c r="B30" s="15" t="n">
        <f aca="false">Founder!F21</f>
        <v>2099.84018489353</v>
      </c>
      <c r="C30" s="15" t="n">
        <f aca="false">Market!F21</f>
        <v>1508.63875726496</v>
      </c>
      <c r="D30" s="15" t="n">
        <f aca="false">Pessimistic!F21</f>
        <v>975.242032527724</v>
      </c>
      <c r="E30" s="15" t="n">
        <f aca="false">Optimistic!F21</f>
        <v>2257.27212921191</v>
      </c>
      <c r="F30" s="15" t="n">
        <f aca="false">Founder!K21</f>
        <v>-29078.6079669511</v>
      </c>
      <c r="G30" s="15" t="n">
        <f aca="false">Market!K21</f>
        <v>-67234.4309536932</v>
      </c>
      <c r="H30" s="15" t="n">
        <f aca="false">Pessimistic!K21</f>
        <v>-95073.6482715025</v>
      </c>
      <c r="I30" s="15" t="n">
        <f aca="false">Optimistic!K21</f>
        <v>-38576.7474935745</v>
      </c>
      <c r="J30" s="16" t="n">
        <f aca="false">Founder!D21</f>
        <v>14.0928871469365</v>
      </c>
      <c r="K30" s="16" t="n">
        <f aca="false">Market!D21</f>
        <v>10.7647797545426</v>
      </c>
      <c r="L30" s="16" t="n">
        <f aca="false">Pessimistic!D21</f>
        <v>7.89035330801034</v>
      </c>
      <c r="M30" s="16" t="n">
        <f aca="false">Optimistic!D21</f>
        <v>13.9480992296058</v>
      </c>
    </row>
    <row r="31" customFormat="false" ht="15" hidden="false" customHeight="false" outlineLevel="0" collapsed="false">
      <c r="A31" s="0" t="n">
        <v>7</v>
      </c>
      <c r="B31" s="15" t="n">
        <f aca="false">Founder!F22</f>
        <v>2395.8457153181</v>
      </c>
      <c r="C31" s="15" t="n">
        <f aca="false">Market!F22</f>
        <v>1660.81321954093</v>
      </c>
      <c r="D31" s="15" t="n">
        <f aca="false">Pessimistic!F22</f>
        <v>1016.71963730926</v>
      </c>
      <c r="E31" s="15" t="n">
        <f aca="false">Optimistic!F22</f>
        <v>2580.35278361071</v>
      </c>
      <c r="F31" s="15" t="n">
        <f aca="false">Founder!K22</f>
        <v>-33076.3312299425</v>
      </c>
      <c r="G31" s="15" t="n">
        <f aca="false">Market!K22</f>
        <v>-78055.3353058923</v>
      </c>
      <c r="H31" s="15" t="n">
        <f aca="false">Pessimistic!K22</f>
        <v>-110845.647810607</v>
      </c>
      <c r="I31" s="15" t="n">
        <f aca="false">Optimistic!K22</f>
        <v>-44069.8365587673</v>
      </c>
      <c r="J31" s="16" t="n">
        <f aca="false">Founder!D22</f>
        <v>16.0795014450879</v>
      </c>
      <c r="K31" s="16" t="n">
        <f aca="false">Market!D22</f>
        <v>11.925095991735</v>
      </c>
      <c r="L31" s="16" t="n">
        <f aca="false">Pessimistic!D22</f>
        <v>8.44655935481811</v>
      </c>
      <c r="M31" s="16" t="n">
        <f aca="false">Optimistic!D22</f>
        <v>15.8420752957659</v>
      </c>
    </row>
    <row r="32" customFormat="false" ht="15" hidden="false" customHeight="false" outlineLevel="0" collapsed="false">
      <c r="A32" s="0" t="n">
        <v>8</v>
      </c>
      <c r="B32" s="15" t="n">
        <f aca="false">Founder!F23</f>
        <v>2693.10887361742</v>
      </c>
      <c r="C32" s="15" t="n">
        <f aca="false">Market!F23</f>
        <v>1806.34598169377</v>
      </c>
      <c r="D32" s="15" t="n">
        <f aca="false">Pessimistic!F23</f>
        <v>1055.76007740078</v>
      </c>
      <c r="E32" s="15" t="n">
        <f aca="false">Optimistic!F23</f>
        <v>2895.40139102863</v>
      </c>
      <c r="F32" s="15" t="n">
        <f aca="false">Founder!K23</f>
        <v>-36801.1819648492</v>
      </c>
      <c r="G32" s="15" t="n">
        <f aca="false">Market!K23</f>
        <v>-88760.0945313223</v>
      </c>
      <c r="H32" s="15" t="n">
        <f aca="false">Pessimistic!K23</f>
        <v>-126590.506430283</v>
      </c>
      <c r="I32" s="15" t="n">
        <f aca="false">Optimistic!K23</f>
        <v>-49279.7566545549</v>
      </c>
      <c r="J32" s="16" t="n">
        <f aca="false">Founder!D23</f>
        <v>18.0745561987746</v>
      </c>
      <c r="K32" s="16" t="n">
        <f aca="false">Market!D23</f>
        <v>13.0346130065504</v>
      </c>
      <c r="L32" s="16" t="n">
        <f aca="false">Pessimistic!D23</f>
        <v>8.96854075253804</v>
      </c>
      <c r="M32" s="16" t="n">
        <f aca="false">Optimistic!D23</f>
        <v>17.6890567701843</v>
      </c>
    </row>
    <row r="33" customFormat="false" ht="15" hidden="false" customHeight="false" outlineLevel="0" collapsed="false">
      <c r="A33" s="0" t="n">
        <v>9</v>
      </c>
      <c r="B33" s="15" t="n">
        <f aca="false">Founder!F24</f>
        <v>2990.83738036149</v>
      </c>
      <c r="C33" s="15" t="n">
        <f aca="false">Market!F24</f>
        <v>1944.95992433839</v>
      </c>
      <c r="D33" s="15" t="n">
        <f aca="false">Pessimistic!F24</f>
        <v>1092.24021540256</v>
      </c>
      <c r="E33" s="15" t="n">
        <f aca="false">Optimistic!F24</f>
        <v>3201.61291260425</v>
      </c>
      <c r="F33" s="15" t="n">
        <f aca="false">Founder!K24</f>
        <v>-40252.5353422709</v>
      </c>
      <c r="G33" s="15" t="n">
        <f aca="false">Market!K24</f>
        <v>-99354.0662288281</v>
      </c>
      <c r="H33" s="15" t="n">
        <f aca="false">Pessimistic!K24</f>
        <v>-142309.898037486</v>
      </c>
      <c r="I33" s="15" t="n">
        <f aca="false">Optimistic!K24</f>
        <v>-54214.2245491797</v>
      </c>
      <c r="J33" s="16" t="n">
        <f aca="false">Founder!D24</f>
        <v>20.0727340963858</v>
      </c>
      <c r="K33" s="16" t="n">
        <f aca="false">Market!D24</f>
        <v>14.0913244586804</v>
      </c>
      <c r="L33" s="16" t="n">
        <f aca="false">Pessimistic!D24</f>
        <v>9.45572616672743</v>
      </c>
      <c r="M33" s="16" t="n">
        <f aca="false">Optimistic!D24</f>
        <v>19.4842641398982</v>
      </c>
    </row>
    <row r="34" customFormat="false" ht="15" hidden="false" customHeight="false" outlineLevel="0" collapsed="false">
      <c r="A34" s="0" t="n">
        <v>10</v>
      </c>
      <c r="B34" s="15" t="n">
        <f aca="false">Founder!F25</f>
        <v>3288.73744602261</v>
      </c>
      <c r="C34" s="15" t="n">
        <f aca="false">Market!F25</f>
        <v>2076.77508599258</v>
      </c>
      <c r="D34" s="15" t="n">
        <f aca="false">Pessimistic!F25</f>
        <v>1126.23034950057</v>
      </c>
      <c r="E34" s="15" t="n">
        <f aca="false">Optimistic!F25</f>
        <v>3498.86458775359</v>
      </c>
      <c r="F34" s="15" t="n">
        <f aca="false">Founder!K25</f>
        <v>-43430.1609504609</v>
      </c>
      <c r="G34" s="15" t="n">
        <f aca="false">Market!K25</f>
        <v>-109842.62394901</v>
      </c>
      <c r="H34" s="15" t="n">
        <f aca="false">Pessimistic!K25</f>
        <v>-158005.521985486</v>
      </c>
      <c r="I34" s="15" t="n">
        <f aca="false">Optimistic!K25</f>
        <v>-58881.2168055032</v>
      </c>
      <c r="J34" s="16" t="n">
        <f aca="false">Founder!D25</f>
        <v>22.0720633961249</v>
      </c>
      <c r="K34" s="16" t="n">
        <f aca="false">Market!D25</f>
        <v>15.0961847870233</v>
      </c>
      <c r="L34" s="16" t="n">
        <f aca="false">Pessimistic!D25</f>
        <v>9.90945108431091</v>
      </c>
      <c r="M34" s="16" t="n">
        <f aca="false">Optimistic!D25</f>
        <v>21.2269555205975</v>
      </c>
    </row>
    <row r="35" customFormat="false" ht="15" hidden="false" customHeight="false" outlineLevel="0" collapsed="false">
      <c r="A35" s="0" t="n">
        <v>11</v>
      </c>
      <c r="B35" s="15" t="n">
        <f aca="false">Founder!F26</f>
        <v>3586.70067443896</v>
      </c>
      <c r="C35" s="15" t="n">
        <f aca="false">Market!F26</f>
        <v>2202.04805705981</v>
      </c>
      <c r="D35" s="15" t="n">
        <f aca="false">Pessimistic!F26</f>
        <v>1157.86459190919</v>
      </c>
      <c r="E35" s="15" t="n">
        <f aca="false">Optimistic!F26</f>
        <v>3787.28210274617</v>
      </c>
      <c r="F35" s="15" t="n">
        <f aca="false">Founder!K26</f>
        <v>-46333.9739510778</v>
      </c>
      <c r="G35" s="15" t="n">
        <f aca="false">Market!K26</f>
        <v>-120230.977331746</v>
      </c>
      <c r="H35" s="15" t="n">
        <f aca="false">Pessimistic!K26</f>
        <v>-173679.011323406</v>
      </c>
      <c r="I35" s="15" t="n">
        <f aca="false">Optimistic!K26</f>
        <v>-63288.6520175432</v>
      </c>
      <c r="J35" s="16" t="n">
        <f aca="false">Founder!D26</f>
        <v>24.0718166069729</v>
      </c>
      <c r="K35" s="16" t="n">
        <f aca="false">Market!D26</f>
        <v>16.0511645429472</v>
      </c>
      <c r="L35" s="16" t="n">
        <f aca="false">Pessimistic!D26</f>
        <v>10.3316518000623</v>
      </c>
      <c r="M35" s="16" t="n">
        <f aca="false">Optimistic!D26</f>
        <v>22.9178595924067</v>
      </c>
    </row>
    <row r="36" customFormat="false" ht="15" hidden="false" customHeight="false" outlineLevel="0" collapsed="false">
      <c r="A36" s="0" t="n">
        <v>12</v>
      </c>
      <c r="B36" s="15" t="n">
        <f aca="false">Founder!F27</f>
        <v>3884.68714587409</v>
      </c>
      <c r="C36" s="15" t="n">
        <f aca="false">Market!F27</f>
        <v>2321.07525173918</v>
      </c>
      <c r="D36" s="15" t="n">
        <f aca="false">Pessimistic!F27</f>
        <v>1187.29305473742</v>
      </c>
      <c r="E36" s="15" t="n">
        <f aca="false">Optimistic!F27</f>
        <v>4067.0777786895</v>
      </c>
      <c r="F36" s="15" t="n">
        <f aca="false">Founder!K27</f>
        <v>-48963.9431237351</v>
      </c>
      <c r="G36" s="15" t="n">
        <f aca="false">Market!K27</f>
        <v>-130524.114124099</v>
      </c>
      <c r="H36" s="15" t="n">
        <f aca="false">Pessimistic!K27</f>
        <v>-189331.904180919</v>
      </c>
      <c r="I36" s="15" t="n">
        <f aca="false">Optimistic!K27</f>
        <v>-67444.2780083814</v>
      </c>
      <c r="J36" s="16" t="n">
        <f aca="false">Founder!D27</f>
        <v>26.0717258112355</v>
      </c>
      <c r="K36" s="16" t="n">
        <f aca="false">Market!D27</f>
        <v>16.9585286854444</v>
      </c>
      <c r="L36" s="16" t="n">
        <f aca="false">Pessimistic!D27</f>
        <v>10.7243855100365</v>
      </c>
      <c r="M36" s="16" t="n">
        <f aca="false">Optimistic!D27</f>
        <v>24.5582181183962</v>
      </c>
    </row>
    <row r="37" customFormat="false" ht="15" hidden="false" customHeight="false" outlineLevel="0" collapsed="false">
      <c r="A37" s="0" t="n">
        <v>13</v>
      </c>
      <c r="B37" s="15" t="n">
        <f aca="false">Founder!F28</f>
        <v>4182.68216885038</v>
      </c>
      <c r="C37" s="15" t="n">
        <f aca="false">Market!F28</f>
        <v>2434.15766218842</v>
      </c>
      <c r="D37" s="15" t="n">
        <f aca="false">Pessimistic!F28</f>
        <v>1214.66469566591</v>
      </c>
      <c r="E37" s="15" t="n">
        <f aca="false">Optimistic!F28</f>
        <v>4338.49087445502</v>
      </c>
      <c r="F37" s="15" t="n">
        <f aca="false">Founder!K28</f>
        <v>-51320.0569817267</v>
      </c>
      <c r="G37" s="15" t="n">
        <f aca="false">Market!K28</f>
        <v>-140726.786888397</v>
      </c>
      <c r="H37" s="15" t="n">
        <f aca="false">Pessimistic!K28</f>
        <v>-204965.638156652</v>
      </c>
      <c r="I37" s="15" t="n">
        <f aca="false">Optimistic!K28</f>
        <v>-71355.63474677</v>
      </c>
      <c r="J37" s="16" t="n">
        <f aca="false">Founder!D28</f>
        <v>28.0716924083918</v>
      </c>
      <c r="K37" s="16" t="n">
        <f aca="false">Market!D28</f>
        <v>17.8205736917408</v>
      </c>
      <c r="L37" s="16" t="n">
        <f aca="false">Pessimistic!D28</f>
        <v>11.0896598855472</v>
      </c>
      <c r="M37" s="16" t="n">
        <f aca="false">Optimistic!D28</f>
        <v>26.1494326939342</v>
      </c>
    </row>
    <row r="38" customFormat="false" ht="15" hidden="false" customHeight="false" outlineLevel="0" collapsed="false">
      <c r="A38" s="0" t="n">
        <v>14</v>
      </c>
      <c r="B38" s="15" t="n">
        <f aca="false">Founder!F29</f>
        <v>4480.68033788635</v>
      </c>
      <c r="C38" s="15" t="n">
        <f aca="false">Market!F29</f>
        <v>2541.58837120283</v>
      </c>
      <c r="D38" s="15" t="n">
        <f aca="false">Pessimistic!F29</f>
        <v>1240.12148813631</v>
      </c>
      <c r="E38" s="15" t="n">
        <f aca="false">Optimistic!F29</f>
        <v>4601.76573090646</v>
      </c>
      <c r="F38" s="15" t="n">
        <f aca="false">Founder!K29</f>
        <v>-53402.3112991443</v>
      </c>
      <c r="G38" s="15" t="n">
        <f aca="false">Market!K29</f>
        <v>-150843.515784576</v>
      </c>
      <c r="H38" s="15" t="n">
        <f aca="false">Pessimistic!K29</f>
        <v>-220581.552843717</v>
      </c>
      <c r="I38" s="15" t="n">
        <f aca="false">Optimistic!K29</f>
        <v>-75030.0450464763</v>
      </c>
      <c r="J38" s="16" t="n">
        <f aca="false">Founder!D29</f>
        <v>30.0716801200426</v>
      </c>
      <c r="K38" s="16" t="n">
        <f aca="false">Market!D29</f>
        <v>18.6395345006152</v>
      </c>
      <c r="L38" s="16" t="n">
        <f aca="false">Pessimistic!D29</f>
        <v>11.42937683666</v>
      </c>
      <c r="M38" s="16" t="n">
        <f aca="false">Optimistic!D29</f>
        <v>27.6929354094777</v>
      </c>
    </row>
    <row r="39" customFormat="false" ht="15" hidden="false" customHeight="false" outlineLevel="0" collapsed="false">
      <c r="A39" s="0" t="n">
        <v>15</v>
      </c>
      <c r="B39" s="15" t="n">
        <f aca="false">Founder!F30</f>
        <v>4778.67966430971</v>
      </c>
      <c r="C39" s="15" t="n">
        <f aca="false">Market!F30</f>
        <v>2643.64843471198</v>
      </c>
      <c r="D39" s="15" t="n">
        <f aca="false">Pessimistic!F30</f>
        <v>1263.7967342371</v>
      </c>
      <c r="E39" s="15" t="n">
        <f aca="false">Optimistic!F30</f>
        <v>4857.14386969536</v>
      </c>
      <c r="F39" s="15" t="n">
        <f aca="false">Founder!K30</f>
        <v>-55210.704521338</v>
      </c>
      <c r="G39" s="15" t="n">
        <f aca="false">Market!K30</f>
        <v>-160878.596887131</v>
      </c>
      <c r="H39" s="15" t="n">
        <f aca="false">Pessimistic!K30</f>
        <v>-236180.895029968</v>
      </c>
      <c r="I39" s="15" t="n">
        <f aca="false">Optimistic!K30</f>
        <v>-78474.6153641838</v>
      </c>
      <c r="J39" s="16" t="n">
        <f aca="false">Founder!D30</f>
        <v>32.071675599394</v>
      </c>
      <c r="K39" s="16" t="n">
        <f aca="false">Market!D30</f>
        <v>19.4175539104299</v>
      </c>
      <c r="L39" s="16" t="n">
        <f aca="false">Pessimistic!D30</f>
        <v>11.7453179355719</v>
      </c>
      <c r="M39" s="16" t="n">
        <f aca="false">Optimistic!D30</f>
        <v>29.1901420851584</v>
      </c>
    </row>
    <row r="40" customFormat="false" ht="15" hidden="false" customHeight="false" outlineLevel="0" collapsed="false">
      <c r="A40" s="0" t="n">
        <v>16</v>
      </c>
      <c r="B40" s="15" t="n">
        <f aca="false">Founder!F31</f>
        <v>5076.67941651436</v>
      </c>
      <c r="C40" s="15" t="n">
        <f aca="false">Market!F31</f>
        <v>2740.60582244005</v>
      </c>
      <c r="D40" s="15" t="n">
        <f aca="false">Pessimistic!F31</f>
        <v>1285.81487096996</v>
      </c>
      <c r="E40" s="15" t="n">
        <f aca="false">Optimistic!F31</f>
        <v>5104.86122645476</v>
      </c>
      <c r="F40" s="15" t="n">
        <f aca="false">Founder!K31</f>
        <v>-56745.2360763809</v>
      </c>
      <c r="G40" s="15" t="n">
        <f aca="false">Market!K31</f>
        <v>-170836.112174117</v>
      </c>
      <c r="H40" s="15" t="n">
        <f aca="false">Pessimistic!K31</f>
        <v>-251764.824583581</v>
      </c>
      <c r="I40" s="15" t="n">
        <f aca="false">Optimistic!K31</f>
        <v>-81696.240186958</v>
      </c>
      <c r="J40" s="16" t="n">
        <f aca="false">Founder!D31</f>
        <v>34.071673936338</v>
      </c>
      <c r="K40" s="16" t="n">
        <f aca="false">Market!D31</f>
        <v>20.1566747929954</v>
      </c>
      <c r="L40" s="16" t="n">
        <f aca="false">Pessimistic!D31</f>
        <v>12.0391447520966</v>
      </c>
      <c r="M40" s="16" t="n">
        <f aca="false">Optimistic!D31</f>
        <v>30.6424358868064</v>
      </c>
    </row>
    <row r="41" customFormat="false" ht="15" hidden="false" customHeight="false" outlineLevel="0" collapsed="false">
      <c r="A41" s="0" t="n">
        <v>17</v>
      </c>
      <c r="B41" s="15" t="n">
        <f aca="false">Founder!F32</f>
        <v>5374.67932535549</v>
      </c>
      <c r="C41" s="15" t="n">
        <f aca="false">Market!F32</f>
        <v>2832.71546122361</v>
      </c>
      <c r="D41" s="15" t="n">
        <f aca="false">Pessimistic!F32</f>
        <v>1306.29179620476</v>
      </c>
      <c r="E41" s="15" t="n">
        <f aca="false">Optimistic!F32</f>
        <v>5345.1472693094</v>
      </c>
      <c r="F41" s="15" t="n">
        <f aca="false">Founder!K32</f>
        <v>-58005.9057538722</v>
      </c>
      <c r="G41" s="15" t="n">
        <f aca="false">Market!K32</f>
        <v>-180719.939784882</v>
      </c>
      <c r="H41" s="15" t="n">
        <f aca="false">Pessimistic!K32</f>
        <v>-267334.420312733</v>
      </c>
      <c r="I41" s="15" t="n">
        <f aca="false">Optimistic!K32</f>
        <v>-84701.6076175711</v>
      </c>
      <c r="J41" s="16" t="n">
        <f aca="false">Founder!D32</f>
        <v>36.0716733245335</v>
      </c>
      <c r="K41" s="16" t="n">
        <f aca="false">Market!D32</f>
        <v>20.8588405302529</v>
      </c>
      <c r="L41" s="16" t="n">
        <f aca="false">Pessimistic!D32</f>
        <v>12.3124042780629</v>
      </c>
      <c r="M41" s="16" t="n">
        <f aca="false">Optimistic!D32</f>
        <v>32.0511620980619</v>
      </c>
    </row>
    <row r="42" customFormat="false" ht="15" hidden="false" customHeight="false" outlineLevel="0" collapsed="false">
      <c r="A42" s="0" t="n">
        <v>18</v>
      </c>
      <c r="B42" s="15" t="n">
        <f aca="false">Founder!F33</f>
        <v>5672.67929182001</v>
      </c>
      <c r="C42" s="15" t="n">
        <f aca="false">Market!F33</f>
        <v>2920.21966237612</v>
      </c>
      <c r="D42" s="15" t="n">
        <f aca="false">Pessimistic!F33</f>
        <v>1325.33535803709</v>
      </c>
      <c r="E42" s="15" t="n">
        <f aca="false">Optimistic!F33</f>
        <v>5578.22480695518</v>
      </c>
      <c r="F42" s="15" t="n">
        <f aca="false">Founder!K33</f>
        <v>-58992.7134764097</v>
      </c>
      <c r="G42" s="15" t="n">
        <f aca="false">Market!K33</f>
        <v>-190533.764047529</v>
      </c>
      <c r="H42" s="15" t="n">
        <f aca="false">Pessimistic!K33</f>
        <v>-282890.685557139</v>
      </c>
      <c r="I42" s="15" t="n">
        <f aca="false">Optimistic!K33</f>
        <v>-87497.2052813756</v>
      </c>
      <c r="J42" s="16" t="n">
        <f aca="false">Founder!D33</f>
        <v>38.0716730994632</v>
      </c>
      <c r="K42" s="16" t="n">
        <f aca="false">Market!D33</f>
        <v>21.5258983113051</v>
      </c>
      <c r="L42" s="16" t="n">
        <f aca="false">Pessimistic!D33</f>
        <v>12.5665358530093</v>
      </c>
      <c r="M42" s="16" t="n">
        <f aca="false">Optimistic!D33</f>
        <v>33.4176269731381</v>
      </c>
    </row>
    <row r="43" customFormat="false" ht="15" hidden="false" customHeight="false" outlineLevel="0" collapsed="false">
      <c r="A43" s="0" t="n">
        <v>19</v>
      </c>
      <c r="B43" s="15" t="n">
        <f aca="false">Founder!F34</f>
        <v>5970.679279483</v>
      </c>
      <c r="C43" s="15" t="n">
        <f aca="false">Market!F34</f>
        <v>3003.34866977106</v>
      </c>
      <c r="D43" s="15" t="n">
        <f aca="false">Pessimistic!F34</f>
        <v>1343.04587840053</v>
      </c>
      <c r="E43" s="15" t="n">
        <f aca="false">Optimistic!F34</f>
        <v>5804.31004645868</v>
      </c>
      <c r="F43" s="15" t="n">
        <f aca="false">Founder!K34</f>
        <v>-59705.6592155188</v>
      </c>
      <c r="G43" s="15" t="n">
        <f aca="false">Market!K34</f>
        <v>-200281.085108971</v>
      </c>
      <c r="H43" s="15" t="n">
        <f aca="false">Pessimistic!K34</f>
        <v>-298434.553440431</v>
      </c>
      <c r="I43" s="15" t="n">
        <f aca="false">Optimistic!K34</f>
        <v>-90089.3262359076</v>
      </c>
      <c r="J43" s="16" t="n">
        <f aca="false">Founder!D34</f>
        <v>40.0716730166644</v>
      </c>
      <c r="K43" s="16" t="n">
        <f aca="false">Market!D34</f>
        <v>22.1596033249469</v>
      </c>
      <c r="L43" s="16" t="n">
        <f aca="false">Pessimistic!D34</f>
        <v>12.8028782970969</v>
      </c>
      <c r="M43" s="16" t="n">
        <f aca="false">Optimistic!D34</f>
        <v>34.7430980675662</v>
      </c>
    </row>
    <row r="44" customFormat="false" ht="15" hidden="false" customHeight="false" outlineLevel="0" collapsed="false">
      <c r="A44" s="0" t="n">
        <v>20</v>
      </c>
      <c r="B44" s="15" t="n">
        <f aca="false">Founder!F35</f>
        <v>6268.67927494447</v>
      </c>
      <c r="C44" s="15" t="n">
        <f aca="false">Market!F35</f>
        <v>3082.32123279271</v>
      </c>
      <c r="D44" s="15" t="n">
        <f aca="false">Pessimistic!F35</f>
        <v>1359.51666522982</v>
      </c>
      <c r="E44" s="15" t="n">
        <f aca="false">Optimistic!F35</f>
        <v>6023.61273907296</v>
      </c>
      <c r="F44" s="15" t="n">
        <f aca="false">Founder!K35</f>
        <v>-60144.7429607243</v>
      </c>
      <c r="G44" s="15" t="n">
        <f aca="false">Market!K35</f>
        <v>-209965.228121728</v>
      </c>
      <c r="H44" s="15" t="n">
        <f aca="false">Pessimistic!K35</f>
        <v>-313966.891774098</v>
      </c>
      <c r="I44" s="15" t="n">
        <f aca="false">Optimistic!K35</f>
        <v>-92484.0747693972</v>
      </c>
      <c r="J44" s="16" t="n">
        <f aca="false">Founder!D35</f>
        <v>42.0716729862045</v>
      </c>
      <c r="K44" s="16" t="n">
        <f aca="false">Market!D35</f>
        <v>22.7616231326563</v>
      </c>
      <c r="L44" s="16" t="n">
        <f aca="false">Pessimistic!D35</f>
        <v>13.0226767993035</v>
      </c>
      <c r="M44" s="16" t="n">
        <f aca="false">Optimistic!D35</f>
        <v>36.0288050900839</v>
      </c>
    </row>
    <row r="45" customFormat="false" ht="15" hidden="false" customHeight="false" outlineLevel="0" collapsed="false">
      <c r="A45" s="0" t="n">
        <v>21</v>
      </c>
      <c r="B45" s="15" t="n">
        <f aca="false">Founder!F36</f>
        <v>6566.67927327483</v>
      </c>
      <c r="C45" s="15" t="n">
        <f aca="false">Market!F36</f>
        <v>3157.34516986925</v>
      </c>
      <c r="D45" s="15" t="n">
        <f aca="false">Pessimistic!F36</f>
        <v>1374.83449804472</v>
      </c>
      <c r="E45" s="15" t="n">
        <f aca="false">Optimistic!F36</f>
        <v>6236.33635469645</v>
      </c>
      <c r="F45" s="15" t="n">
        <f aca="false">Founder!K36</f>
        <v>-60309.9647081725</v>
      </c>
      <c r="G45" s="15" t="n">
        <f aca="false">Market!K36</f>
        <v>-219589.351985462</v>
      </c>
      <c r="H45" s="15" t="n">
        <f aca="false">Pessimistic!K36</f>
        <v>-329488.50762522</v>
      </c>
      <c r="I45" s="15" t="n">
        <f aca="false">Optimistic!K36</f>
        <v>-94687.3720496757</v>
      </c>
      <c r="J45" s="16" t="n">
        <f aca="false">Founder!D36</f>
        <v>44.0716729749989</v>
      </c>
      <c r="K45" s="16" t="n">
        <f aca="false">Market!D36</f>
        <v>23.3335419664427</v>
      </c>
      <c r="L45" s="16" t="n">
        <f aca="false">Pessimistic!D36</f>
        <v>13.2270894170995</v>
      </c>
      <c r="M45" s="16" t="n">
        <f aca="false">Optimistic!D36</f>
        <v>37.275940924338</v>
      </c>
    </row>
    <row r="46" customFormat="false" ht="15" hidden="false" customHeight="false" outlineLevel="0" collapsed="false">
      <c r="A46" s="0" t="n">
        <v>22</v>
      </c>
      <c r="B46" s="15" t="n">
        <f aca="false">Founder!F37</f>
        <v>6864.67927266061</v>
      </c>
      <c r="C46" s="15" t="n">
        <f aca="false">Market!F37</f>
        <v>3228.6179109035</v>
      </c>
      <c r="D46" s="15" t="n">
        <f aca="false">Pessimistic!F37</f>
        <v>1389.08008295386</v>
      </c>
      <c r="E46" s="15" t="n">
        <f aca="false">Optimistic!F37</f>
        <v>6442.67826324464</v>
      </c>
      <c r="F46" s="15" t="n">
        <f aca="false">Founder!K37</f>
        <v>-60201.3244564458</v>
      </c>
      <c r="G46" s="15" t="n">
        <f aca="false">Market!K37</f>
        <v>-229156.457656602</v>
      </c>
      <c r="H46" s="15" t="n">
        <f aca="false">Pessimistic!K37</f>
        <v>-345000.151567061</v>
      </c>
      <c r="I46" s="15" t="n">
        <f aca="false">Optimistic!K37</f>
        <v>-96704.9616125736</v>
      </c>
      <c r="J46" s="16" t="n">
        <f aca="false">Founder!D37</f>
        <v>46.0716729708766</v>
      </c>
      <c r="K46" s="16" t="n">
        <f aca="false">Market!D37</f>
        <v>23.876864864596</v>
      </c>
      <c r="L46" s="16" t="n">
        <f aca="false">Pessimistic!D37</f>
        <v>13.4171931556023</v>
      </c>
      <c r="M46" s="16" t="n">
        <f aca="false">Optimistic!D37</f>
        <v>38.4856626918095</v>
      </c>
    </row>
    <row r="47" customFormat="false" ht="15" hidden="false" customHeight="false" outlineLevel="0" collapsed="false">
      <c r="A47" s="0" t="n">
        <v>23</v>
      </c>
      <c r="B47" s="15" t="n">
        <f aca="false">Founder!F38</f>
        <v>7162.67927243465</v>
      </c>
      <c r="C47" s="15" t="n">
        <f aca="false">Market!F38</f>
        <v>3296.32701518457</v>
      </c>
      <c r="D47" s="15" t="n">
        <f aca="false">Pessimistic!F38</f>
        <v>1402.32847706332</v>
      </c>
      <c r="E47" s="15" t="n">
        <f aca="false">Optimistic!F38</f>
        <v>6642.82991504898</v>
      </c>
      <c r="F47" s="15" t="n">
        <f aca="false">Founder!K38</f>
        <v>-59818.8222050225</v>
      </c>
      <c r="G47" s="15" t="n">
        <f aca="false">Market!K38</f>
        <v>-238669.396044404</v>
      </c>
      <c r="H47" s="15" t="n">
        <f aca="false">Pessimistic!K38</f>
        <v>-360502.521633083</v>
      </c>
      <c r="I47" s="15" t="n">
        <f aca="false">Optimistic!K38</f>
        <v>-98542.4146889626</v>
      </c>
      <c r="J47" s="16" t="n">
        <f aca="false">Founder!D38</f>
        <v>48.0716729693601</v>
      </c>
      <c r="K47" s="16" t="n">
        <f aca="false">Market!D38</f>
        <v>24.3930216200696</v>
      </c>
      <c r="L47" s="16" t="n">
        <f aca="false">Pessimistic!D38</f>
        <v>13.5939896338639</v>
      </c>
      <c r="M47" s="16" t="n">
        <f aca="false">Optimistic!D38</f>
        <v>39.65909280929</v>
      </c>
    </row>
    <row r="48" customFormat="false" ht="15" hidden="false" customHeight="false" outlineLevel="0" collapsed="false">
      <c r="A48" s="0" t="n">
        <v>24</v>
      </c>
      <c r="B48" s="15" t="n">
        <f aca="false">Founder!F39</f>
        <v>7460.67927235152</v>
      </c>
      <c r="C48" s="15" t="n">
        <f aca="false">Market!F39</f>
        <v>3360.65066436143</v>
      </c>
      <c r="D48" s="15" t="n">
        <f aca="false">Pessimistic!F39</f>
        <v>1414.64948363806</v>
      </c>
      <c r="E48" s="15" t="n">
        <f aca="false">Optimistic!F39</f>
        <v>6836.97701748776</v>
      </c>
      <c r="F48" s="15" t="n">
        <f aca="false">Founder!K39</f>
        <v>-59162.457953711</v>
      </c>
      <c r="G48" s="15" t="n">
        <f aca="false">Market!K39</f>
        <v>-248130.875512897</v>
      </c>
      <c r="H48" s="15" t="n">
        <f aca="false">Pessimistic!K39</f>
        <v>-375996.266994524</v>
      </c>
      <c r="I48" s="15" t="n">
        <f aca="false">Optimistic!K39</f>
        <v>-100205.135373199</v>
      </c>
      <c r="J48" s="16" t="n">
        <f aca="false">Founder!D39</f>
        <v>50.0716729688022</v>
      </c>
      <c r="K48" s="16" t="n">
        <f aca="false">Market!D39</f>
        <v>24.8833705385891</v>
      </c>
      <c r="L48" s="16" t="n">
        <f aca="false">Pessimistic!D39</f>
        <v>13.7584103591822</v>
      </c>
      <c r="M48" s="16" t="n">
        <f aca="false">Optimistic!D39</f>
        <v>40.7973200243619</v>
      </c>
    </row>
    <row r="49" customFormat="false" ht="15" hidden="false" customHeight="false" outlineLevel="0" collapsed="false">
      <c r="A49" s="0" t="n">
        <v>25</v>
      </c>
      <c r="B49" s="15" t="n">
        <f aca="false">Founder!F40</f>
        <v>7758.67927232094</v>
      </c>
      <c r="C49" s="15" t="n">
        <f aca="false">Market!F40</f>
        <v>3421.75813111984</v>
      </c>
      <c r="D49" s="15" t="n">
        <f aca="false">Pessimistic!F40</f>
        <v>1426.10801977206</v>
      </c>
      <c r="E49" s="15" t="n">
        <f aca="false">Optimistic!F40</f>
        <v>7025.29970692275</v>
      </c>
      <c r="F49" s="15" t="n">
        <f aca="false">Founder!K40</f>
        <v>-58232.2317024405</v>
      </c>
      <c r="G49" s="15" t="n">
        <f aca="false">Market!K40</f>
        <v>-257543.469007994</v>
      </c>
      <c r="H49" s="15" t="n">
        <f aca="false">Pessimistic!K40</f>
        <v>-391481.991380679</v>
      </c>
      <c r="I49" s="15" t="n">
        <f aca="false">Optimistic!K40</f>
        <v>-101698.365636959</v>
      </c>
      <c r="J49" s="16" t="n">
        <f aca="false">Founder!D40</f>
        <v>52.0716729685969</v>
      </c>
      <c r="K49" s="16" t="n">
        <f aca="false">Market!D40</f>
        <v>25.3492020114842</v>
      </c>
      <c r="L49" s="16" t="n">
        <f aca="false">Pessimistic!D40</f>
        <v>13.9113216339249</v>
      </c>
      <c r="M49" s="16" t="n">
        <f aca="false">Optimistic!D40</f>
        <v>41.9014004233922</v>
      </c>
    </row>
    <row r="50" customFormat="false" ht="15" hidden="false" customHeight="false" outlineLevel="0" collapsed="false">
      <c r="A50" s="0" t="n">
        <v>26</v>
      </c>
      <c r="B50" s="15" t="n">
        <f aca="false">Founder!F41</f>
        <v>8056.67927230969</v>
      </c>
      <c r="C50" s="15" t="n">
        <f aca="false">Market!F41</f>
        <v>3479.8102245552</v>
      </c>
      <c r="D50" s="15" t="n">
        <f aca="false">Pessimistic!F41</f>
        <v>1436.76445838385</v>
      </c>
      <c r="E50" s="15" t="n">
        <f aca="false">Optimistic!F41</f>
        <v>7207.97271570022</v>
      </c>
      <c r="F50" s="15" t="n">
        <f aca="false">Founder!K41</f>
        <v>-57028.1434511851</v>
      </c>
      <c r="G50" s="15" t="n">
        <f aca="false">Market!K41</f>
        <v>-266909.620828348</v>
      </c>
      <c r="H50" s="15" t="n">
        <f aca="false">Pessimistic!K41</f>
        <v>-406960.256259809</v>
      </c>
      <c r="I50" s="15" t="n">
        <f aca="false">Optimistic!K41</f>
        <v>-103027.190192826</v>
      </c>
      <c r="J50" s="16" t="n">
        <f aca="false">Founder!D41</f>
        <v>54.0716729685214</v>
      </c>
      <c r="K50" s="16" t="n">
        <f aca="false">Market!D41</f>
        <v>25.7917419108454</v>
      </c>
      <c r="L50" s="16" t="n">
        <f aca="false">Pessimistic!D41</f>
        <v>14.053529119508</v>
      </c>
      <c r="M50" s="16" t="n">
        <f aca="false">Optimistic!D41</f>
        <v>42.9723584106025</v>
      </c>
    </row>
    <row r="51" customFormat="false" ht="15" hidden="false" customHeight="false" outlineLevel="0" collapsed="false">
      <c r="A51" s="0" t="n">
        <v>27</v>
      </c>
      <c r="B51" s="15" t="n">
        <f aca="false">Founder!F42</f>
        <v>8354.67927230555</v>
      </c>
      <c r="C51" s="15" t="n">
        <f aca="false">Market!F42</f>
        <v>3534.95971332426</v>
      </c>
      <c r="D51" s="15" t="n">
        <f aca="false">Pessimistic!F42</f>
        <v>1446.67494629544</v>
      </c>
      <c r="E51" s="15" t="n">
        <f aca="false">Optimistic!F42</f>
        <v>7385.16553422375</v>
      </c>
      <c r="F51" s="15" t="n">
        <f aca="false">Founder!K42</f>
        <v>-55550.1931999353</v>
      </c>
      <c r="G51" s="15" t="n">
        <f aca="false">Market!K42</f>
        <v>-276231.653057687</v>
      </c>
      <c r="H51" s="15" t="n">
        <f aca="false">Pessimistic!K42</f>
        <v>-422431.583797401</v>
      </c>
      <c r="I51" s="15" t="n">
        <f aca="false">Optimistic!K42</f>
        <v>-104196.541212023</v>
      </c>
      <c r="J51" s="16" t="n">
        <f aca="false">Founder!D42</f>
        <v>56.0716729684937</v>
      </c>
      <c r="K51" s="16" t="n">
        <f aca="false">Market!D42</f>
        <v>26.2121548152794</v>
      </c>
      <c r="L51" s="16" t="n">
        <f aca="false">Pessimistic!D42</f>
        <v>14.1857820811269</v>
      </c>
      <c r="M51" s="16" t="n">
        <f aca="false">Optimistic!D42</f>
        <v>44.0111876582521</v>
      </c>
    </row>
    <row r="52" customFormat="false" ht="15" hidden="false" customHeight="false" outlineLevel="0" collapsed="false">
      <c r="A52" s="0" t="n">
        <v>28</v>
      </c>
      <c r="B52" s="15" t="n">
        <f aca="false">Founder!F43</f>
        <v>8652.67927230403</v>
      </c>
      <c r="C52" s="15" t="n">
        <f aca="false">Market!F43</f>
        <v>3587.35172765687</v>
      </c>
      <c r="D52" s="15" t="n">
        <f aca="false">Pessimistic!F43</f>
        <v>1455.8917000542</v>
      </c>
      <c r="E52" s="15" t="n">
        <f aca="false">Optimistic!F43</f>
        <v>7557.04256819503</v>
      </c>
      <c r="F52" s="15" t="n">
        <f aca="false">Founder!K43</f>
        <v>-53798.3809486875</v>
      </c>
      <c r="G52" s="15" t="n">
        <f aca="false">Market!K43</f>
        <v>-285511.771675561</v>
      </c>
      <c r="H52" s="15" t="n">
        <f aca="false">Pessimistic!K43</f>
        <v>-437896.459607363</v>
      </c>
      <c r="I52" s="15" t="n">
        <f aca="false">Optimistic!K43</f>
        <v>-105211.202900647</v>
      </c>
      <c r="J52" s="16" t="n">
        <f aca="false">Founder!D43</f>
        <v>58.0716729684834</v>
      </c>
      <c r="K52" s="16" t="n">
        <f aca="false">Market!D43</f>
        <v>26.6115470745067</v>
      </c>
      <c r="L52" s="16" t="n">
        <f aca="false">Pessimistic!D43</f>
        <v>14.3087773354424</v>
      </c>
      <c r="M52" s="16" t="n">
        <f aca="false">Optimistic!D43</f>
        <v>45.0188520284927</v>
      </c>
    </row>
    <row r="53" customFormat="false" ht="15" hidden="false" customHeight="false" outlineLevel="0" collapsed="false">
      <c r="A53" s="0" t="n">
        <v>29</v>
      </c>
      <c r="B53" s="15" t="n">
        <f aca="false">Founder!F44</f>
        <v>8950.67927230347</v>
      </c>
      <c r="C53" s="15" t="n">
        <f aca="false">Market!F44</f>
        <v>3637.1241412736</v>
      </c>
      <c r="D53" s="15" t="n">
        <f aca="false">Pessimistic!F44</f>
        <v>1464.4632810502</v>
      </c>
      <c r="E53" s="15" t="n">
        <f aca="false">Optimistic!F44</f>
        <v>7723.76329114844</v>
      </c>
      <c r="F53" s="15" t="n">
        <f aca="false">Founder!K44</f>
        <v>-51772.7066974404</v>
      </c>
      <c r="G53" s="15" t="n">
        <f aca="false">Market!K44</f>
        <v>-294752.072362542</v>
      </c>
      <c r="H53" s="15" t="n">
        <f aca="false">Pessimistic!K44</f>
        <v>-453355.335310628</v>
      </c>
      <c r="I53" s="15" t="n">
        <f aca="false">Optimistic!K44</f>
        <v>-106075.815938614</v>
      </c>
      <c r="J53" s="16" t="n">
        <f aca="false">Founder!D44</f>
        <v>60.0716729684797</v>
      </c>
      <c r="K53" s="16" t="n">
        <f aca="false">Market!D44</f>
        <v>26.9909697207781</v>
      </c>
      <c r="L53" s="16" t="n">
        <f aca="false">Pessimistic!D44</f>
        <v>14.4231629219593</v>
      </c>
      <c r="M53" s="16" t="n">
        <f aca="false">Optimistic!D44</f>
        <v>45.9962864676335</v>
      </c>
    </row>
    <row r="54" customFormat="false" ht="15" hidden="false" customHeight="false" outlineLevel="0" collapsed="false">
      <c r="A54" s="0" t="n">
        <v>30</v>
      </c>
      <c r="B54" s="15" t="n">
        <f aca="false">Founder!F45</f>
        <v>9248.67927230327</v>
      </c>
      <c r="C54" s="15" t="n">
        <f aca="false">Market!F45</f>
        <v>3684.40793420976</v>
      </c>
      <c r="D54" s="15" t="n">
        <f aca="false">Pessimistic!F45</f>
        <v>1472.43485137661</v>
      </c>
      <c r="E54" s="15" t="n">
        <f aca="false">Optimistic!F45</f>
        <v>7885.48239241371</v>
      </c>
      <c r="F54" s="15" t="n">
        <f aca="false">Founder!K45</f>
        <v>-49473.1704461937</v>
      </c>
      <c r="G54" s="15" t="n">
        <f aca="false">Market!K45</f>
        <v>-303954.546015175</v>
      </c>
      <c r="H54" s="15" t="n">
        <f aca="false">Pessimistic!K45</f>
        <v>-468808.630914664</v>
      </c>
      <c r="I54" s="15" t="n">
        <f aca="false">Optimistic!K45</f>
        <v>-106794.881785441</v>
      </c>
      <c r="J54" s="16" t="n">
        <f aca="false">Founder!D45</f>
        <v>62.0716729684783</v>
      </c>
      <c r="K54" s="16" t="n">
        <f aca="false">Market!D45</f>
        <v>27.351421234738</v>
      </c>
      <c r="L54" s="16" t="n">
        <f aca="false">Pessimistic!D45</f>
        <v>14.5295415174214</v>
      </c>
      <c r="M54" s="16" t="n">
        <f aca="false">Optimistic!D45</f>
        <v>46.9443978736029</v>
      </c>
    </row>
    <row r="55" customFormat="false" ht="15" hidden="false" customHeight="false" outlineLevel="0" collapsed="false">
      <c r="A55" s="0" t="n">
        <v>31</v>
      </c>
      <c r="B55" s="15" t="n">
        <f aca="false">Founder!F46</f>
        <v>9546.67927230319</v>
      </c>
      <c r="C55" s="15" t="n">
        <f aca="false">Market!F46</f>
        <v>3729.32753749921</v>
      </c>
      <c r="D55" s="15" t="n">
        <f aca="false">Pessimistic!F46</f>
        <v>1479.84841178021</v>
      </c>
      <c r="E55" s="15" t="n">
        <f aca="false">Optimistic!F46</f>
        <v>8042.3499206412</v>
      </c>
      <c r="F55" s="15" t="n">
        <f aca="false">Founder!K46</f>
        <v>-46899.772194947</v>
      </c>
      <c r="G55" s="15" t="n">
        <f aca="false">Market!K46</f>
        <v>-313121.083985175</v>
      </c>
      <c r="H55" s="15" t="n">
        <f aca="false">Pessimistic!K46</f>
        <v>-484256.737026418</v>
      </c>
      <c r="I55" s="15" t="n">
        <f aca="false">Optimistic!K46</f>
        <v>-107372.766856864</v>
      </c>
      <c r="J55" s="16" t="n">
        <f aca="false">Founder!D46</f>
        <v>64.0716729684778</v>
      </c>
      <c r="K55" s="16" t="n">
        <f aca="false">Market!D46</f>
        <v>27.6938501730007</v>
      </c>
      <c r="L55" s="16" t="n">
        <f aca="false">Pessimistic!D46</f>
        <v>14.6284736112016</v>
      </c>
      <c r="M55" s="16" t="n">
        <f aca="false">Optimistic!D46</f>
        <v>47.8640659373942</v>
      </c>
    </row>
    <row r="56" customFormat="false" ht="15" hidden="false" customHeight="false" outlineLevel="0" collapsed="false">
      <c r="A56" s="0" t="n">
        <v>32</v>
      </c>
      <c r="B56" s="15" t="n">
        <f aca="false">Founder!F47</f>
        <v>9844.67927230316</v>
      </c>
      <c r="C56" s="15" t="n">
        <f aca="false">Market!F47</f>
        <v>3772.00116062423</v>
      </c>
      <c r="D56" s="15" t="n">
        <f aca="false">Pessimistic!F47</f>
        <v>1486.74302295559</v>
      </c>
      <c r="E56" s="15" t="n">
        <f aca="false">Optimistic!F47</f>
        <v>8194.51142302192</v>
      </c>
      <c r="F56" s="15" t="n">
        <f aca="false">Founder!K47</f>
        <v>-44052.5119437004</v>
      </c>
      <c r="G56" s="15" t="n">
        <f aca="false">Market!K47</f>
        <v>-322253.483056676</v>
      </c>
      <c r="H56" s="15" t="n">
        <f aca="false">Pessimistic!K47</f>
        <v>-499700.016910349</v>
      </c>
      <c r="I56" s="15" t="n">
        <f aca="false">Optimistic!K47</f>
        <v>-107813.706576144</v>
      </c>
      <c r="J56" s="16" t="n">
        <f aca="false">Founder!D47</f>
        <v>66.0716729684776</v>
      </c>
      <c r="K56" s="16" t="n">
        <f aca="false">Market!D47</f>
        <v>28.0191576643505</v>
      </c>
      <c r="L56" s="16" t="n">
        <f aca="false">Pessimistic!D47</f>
        <v>14.7204804584174</v>
      </c>
      <c r="M56" s="16" t="n">
        <f aca="false">Optimistic!D47</f>
        <v>48.7561439592722</v>
      </c>
    </row>
    <row r="57" customFormat="false" ht="15" hidden="false" customHeight="false" outlineLevel="0" collapsed="false">
      <c r="A57" s="0" t="n">
        <v>33</v>
      </c>
      <c r="B57" s="15" t="n">
        <f aca="false">Founder!F48</f>
        <v>10142.6792723032</v>
      </c>
      <c r="C57" s="15" t="n">
        <f aca="false">Market!F48</f>
        <v>3812.54110259301</v>
      </c>
      <c r="D57" s="15" t="n">
        <f aca="false">Pessimistic!F48</f>
        <v>1493.15501134869</v>
      </c>
      <c r="E57" s="15" t="n">
        <f aca="false">Optimistic!F48</f>
        <v>8342.10808033125</v>
      </c>
      <c r="F57" s="15" t="n">
        <f aca="false">Founder!K48</f>
        <v>-40931.3896924538</v>
      </c>
      <c r="G57" s="15" t="n">
        <f aca="false">Market!K48</f>
        <v>-331353.450174601</v>
      </c>
      <c r="H57" s="15" t="n">
        <f aca="false">Pessimistic!K48</f>
        <v>-515138.808402405</v>
      </c>
      <c r="I57" s="15" t="n">
        <f aca="false">Optimistic!K48</f>
        <v>-108121.809303846</v>
      </c>
      <c r="J57" s="16" t="n">
        <f aca="false">Founder!D48</f>
        <v>68.0716729684775</v>
      </c>
      <c r="K57" s="16" t="n">
        <f aca="false">Market!D48</f>
        <v>28.3281997811329</v>
      </c>
      <c r="L57" s="16" t="n">
        <f aca="false">Pessimistic!D48</f>
        <v>14.8060468263281</v>
      </c>
      <c r="M57" s="16" t="n">
        <f aca="false">Optimistic!D48</f>
        <v>49.6214596404939</v>
      </c>
    </row>
    <row r="58" customFormat="false" ht="15" hidden="false" customHeight="false" outlineLevel="0" collapsed="false">
      <c r="A58" s="0" t="n">
        <v>34</v>
      </c>
      <c r="B58" s="15" t="n">
        <f aca="false">Founder!F49</f>
        <v>10440.6792723031</v>
      </c>
      <c r="C58" s="15" t="n">
        <f aca="false">Market!F49</f>
        <v>3851.05404746336</v>
      </c>
      <c r="D58" s="15" t="n">
        <f aca="false">Pessimistic!F49</f>
        <v>1499.11816055428</v>
      </c>
      <c r="E58" s="15" t="n">
        <f aca="false">Optimistic!F49</f>
        <v>8485.27683792131</v>
      </c>
      <c r="F58" s="15" t="n">
        <f aca="false">Founder!K49</f>
        <v>-37536.4054412072</v>
      </c>
      <c r="G58" s="15" t="n">
        <f aca="false">Market!K49</f>
        <v>-340422.606936631</v>
      </c>
      <c r="H58" s="15" t="n">
        <f aca="false">Pessimistic!K49</f>
        <v>-530573.425690017</v>
      </c>
      <c r="I58" s="15" t="n">
        <f aca="false">Optimistic!K49</f>
        <v>-108301.060149717</v>
      </c>
      <c r="J58" s="16" t="n">
        <f aca="false">Founder!D49</f>
        <v>70.0716729684775</v>
      </c>
      <c r="K58" s="16" t="n">
        <f aca="false">Market!D49</f>
        <v>28.6217897920762</v>
      </c>
      <c r="L58" s="16" t="n">
        <f aca="false">Pessimistic!D49</f>
        <v>14.8856235484851</v>
      </c>
      <c r="M58" s="16" t="n">
        <f aca="false">Optimistic!D49</f>
        <v>50.4608158512791</v>
      </c>
    </row>
    <row r="59" customFormat="false" ht="15" hidden="false" customHeight="false" outlineLevel="0" collapsed="false">
      <c r="A59" s="0" t="n">
        <v>35</v>
      </c>
      <c r="B59" s="15" t="n">
        <f aca="false">Founder!F50</f>
        <v>10738.6792723031</v>
      </c>
      <c r="C59" s="15" t="n">
        <f aca="false">Market!F50</f>
        <v>3887.64134509019</v>
      </c>
      <c r="D59" s="15" t="n">
        <f aca="false">Pessimistic!F50</f>
        <v>1504.66388931548</v>
      </c>
      <c r="E59" s="15" t="n">
        <f aca="false">Optimistic!F50</f>
        <v>8624.15053278367</v>
      </c>
      <c r="F59" s="15" t="n">
        <f aca="false">Founder!K50</f>
        <v>-33867.5591899607</v>
      </c>
      <c r="G59" s="15" t="n">
        <f aca="false">Market!K50</f>
        <v>-349462.493860559</v>
      </c>
      <c r="H59" s="15" t="n">
        <f aca="false">Pessimistic!K50</f>
        <v>-546004.160967497</v>
      </c>
      <c r="I59" s="15" t="n">
        <f aca="false">Optimistic!K50</f>
        <v>-108355.324670212</v>
      </c>
      <c r="J59" s="16" t="n">
        <f aca="false">Founder!D50</f>
        <v>72.0716729684775</v>
      </c>
      <c r="K59" s="16" t="n">
        <f aca="false">Market!D50</f>
        <v>28.9007003024724</v>
      </c>
      <c r="L59" s="16" t="n">
        <f aca="false">Pessimistic!D50</f>
        <v>14.9596299000912</v>
      </c>
      <c r="M59" s="16" t="n">
        <f aca="false">Optimistic!D50</f>
        <v>51.2749913757407</v>
      </c>
    </row>
    <row r="60" customFormat="false" ht="15" hidden="false" customHeight="false" outlineLevel="0" collapsed="false">
      <c r="A60" s="0" t="n">
        <v>36</v>
      </c>
      <c r="B60" s="15" t="n">
        <f aca="false">Founder!F51</f>
        <v>11036.6792723031</v>
      </c>
      <c r="C60" s="15" t="n">
        <f aca="false">Market!F51</f>
        <v>3922.39927783568</v>
      </c>
      <c r="D60" s="15" t="n">
        <f aca="false">Pessimistic!F51</f>
        <v>1509.8214170634</v>
      </c>
      <c r="E60" s="15" t="n">
        <f aca="false">Optimistic!F51</f>
        <v>8758.85801680016</v>
      </c>
      <c r="F60" s="15" t="n">
        <f aca="false">Founder!K51</f>
        <v>-29924.8509387141</v>
      </c>
      <c r="G60" s="15" t="n">
        <f aca="false">Market!K51</f>
        <v>-358474.57443829</v>
      </c>
      <c r="H60" s="15" t="n">
        <f aca="false">Pessimistic!K51</f>
        <v>-561431.285975552</v>
      </c>
      <c r="I60" s="15" t="n">
        <f aca="false">Optimistic!K51</f>
        <v>-108288.352455092</v>
      </c>
      <c r="J60" s="16" t="n">
        <f aca="false">Founder!D51</f>
        <v>74.0716729684775</v>
      </c>
      <c r="K60" s="16" t="n">
        <f aca="false">Market!D51</f>
        <v>29.1656652873488</v>
      </c>
      <c r="L60" s="16" t="n">
        <f aca="false">Pessimistic!D51</f>
        <v>15.0284558070848</v>
      </c>
      <c r="M60" s="16" t="n">
        <f aca="false">Optimistic!D51</f>
        <v>52.0647416344685</v>
      </c>
    </row>
  </sheetData>
  <mergeCells count="12"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40</v>
      </c>
    </row>
    <row r="3" customFormat="false" ht="15" hidden="false" customHeight="false" outlineLevel="0" collapsed="false">
      <c r="A3" s="14" t="s">
        <v>41</v>
      </c>
    </row>
    <row r="5" customFormat="false" ht="15" hidden="false" customHeight="false" outlineLevel="0" collapsed="false">
      <c r="A5" s="6" t="s">
        <v>42</v>
      </c>
      <c r="B5" s="6" t="s">
        <v>43</v>
      </c>
      <c r="C5" s="6" t="s">
        <v>44</v>
      </c>
    </row>
    <row r="6" customFormat="false" ht="15" hidden="false" customHeight="false" outlineLevel="0" collapsed="false">
      <c r="A6" s="0" t="s">
        <v>45</v>
      </c>
      <c r="B6" s="0" t="s">
        <v>46</v>
      </c>
      <c r="C6" s="0" t="s">
        <v>47</v>
      </c>
    </row>
    <row r="7" customFormat="false" ht="15" hidden="false" customHeight="false" outlineLevel="0" collapsed="false">
      <c r="A7" s="0" t="s">
        <v>48</v>
      </c>
      <c r="B7" s="0" t="s">
        <v>49</v>
      </c>
      <c r="C7" s="0" t="s">
        <v>50</v>
      </c>
    </row>
    <row r="8" customFormat="false" ht="15" hidden="false" customHeight="false" outlineLevel="0" collapsed="false">
      <c r="A8" s="0" t="s">
        <v>51</v>
      </c>
      <c r="B8" s="0" t="s">
        <v>52</v>
      </c>
      <c r="C8" s="0" t="s">
        <v>53</v>
      </c>
    </row>
    <row r="10" customFormat="false" ht="15" hidden="false" customHeight="false" outlineLevel="0" collapsed="false">
      <c r="A10" s="2" t="s">
        <v>54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14"/>
    <col collapsed="false" customWidth="true" hidden="false" outlineLevel="0" max="6" min="6" style="0" width="22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6" t="s">
        <v>57</v>
      </c>
      <c r="B4" s="6" t="s">
        <v>9</v>
      </c>
      <c r="C4" s="6" t="s">
        <v>58</v>
      </c>
      <c r="D4" s="6" t="s">
        <v>59</v>
      </c>
      <c r="E4" s="6" t="s">
        <v>60</v>
      </c>
      <c r="F4" s="6" t="s">
        <v>61</v>
      </c>
      <c r="G4" s="6" t="s">
        <v>62</v>
      </c>
    </row>
    <row r="5" customFormat="false" ht="15" hidden="false" customHeight="false" outlineLevel="0" collapsed="false">
      <c r="A5" s="17" t="s">
        <v>63</v>
      </c>
      <c r="B5" s="18" t="n">
        <v>149</v>
      </c>
      <c r="C5" s="15" t="n">
        <f aca="false">AVERAGE(D5,E5)</f>
        <v>134</v>
      </c>
      <c r="D5" s="18" t="n">
        <v>99</v>
      </c>
      <c r="E5" s="18" t="n">
        <v>169</v>
      </c>
      <c r="F5" s="0" t="s">
        <v>64</v>
      </c>
      <c r="G5" s="0" t="s">
        <v>65</v>
      </c>
    </row>
    <row r="6" customFormat="false" ht="15" hidden="false" customHeight="false" outlineLevel="0" collapsed="false">
      <c r="A6" s="17" t="s">
        <v>17</v>
      </c>
      <c r="B6" s="19" t="n">
        <v>0.919</v>
      </c>
      <c r="C6" s="20" t="n">
        <f aca="false">AVERAGE(D6,E6)</f>
        <v>0.8</v>
      </c>
      <c r="D6" s="19" t="n">
        <v>0.7</v>
      </c>
      <c r="E6" s="19" t="n">
        <v>0.9</v>
      </c>
      <c r="F6" s="0" t="s">
        <v>64</v>
      </c>
      <c r="G6" s="0" t="s">
        <v>66</v>
      </c>
    </row>
    <row r="7" customFormat="false" ht="15" hidden="false" customHeight="false" outlineLevel="0" collapsed="false">
      <c r="A7" s="17" t="s">
        <v>67</v>
      </c>
      <c r="B7" s="19" t="n">
        <v>0</v>
      </c>
      <c r="C7" s="20" t="n">
        <f aca="false">AVERAGE(D7,E7)</f>
        <v>0.05</v>
      </c>
      <c r="D7" s="19" t="n">
        <v>0.03</v>
      </c>
      <c r="E7" s="19" t="n">
        <v>0.07</v>
      </c>
      <c r="F7" s="0" t="s">
        <v>64</v>
      </c>
      <c r="G7" s="0" t="s">
        <v>68</v>
      </c>
    </row>
    <row r="8" customFormat="false" ht="15" hidden="false" customHeight="false" outlineLevel="0" collapsed="false">
      <c r="A8" s="17" t="s">
        <v>69</v>
      </c>
      <c r="B8" s="19" t="n">
        <v>0</v>
      </c>
      <c r="C8" s="20" t="n">
        <f aca="false">AVERAGE(D8,E8)</f>
        <v>0</v>
      </c>
      <c r="D8" s="19" t="n">
        <v>0</v>
      </c>
      <c r="E8" s="19" t="n">
        <v>0</v>
      </c>
      <c r="F8" s="0" t="s">
        <v>64</v>
      </c>
      <c r="G8" s="0" t="s">
        <v>70</v>
      </c>
    </row>
    <row r="9" customFormat="false" ht="15" hidden="false" customHeight="false" outlineLevel="0" collapsed="false">
      <c r="A9" s="17" t="s">
        <v>71</v>
      </c>
      <c r="B9" s="21" t="n">
        <v>2</v>
      </c>
      <c r="C9" s="22" t="n">
        <f aca="false">AVERAGE(D9,E9)</f>
        <v>1.8</v>
      </c>
      <c r="D9" s="21" t="n">
        <v>1.2</v>
      </c>
      <c r="E9" s="21" t="n">
        <v>2.4</v>
      </c>
      <c r="F9" s="0" t="s">
        <v>64</v>
      </c>
      <c r="G9" s="0" t="s">
        <v>72</v>
      </c>
    </row>
    <row r="10" customFormat="false" ht="15" hidden="false" customHeight="false" outlineLevel="0" collapsed="false">
      <c r="A10" s="17" t="s">
        <v>73</v>
      </c>
      <c r="B10" s="18" t="n">
        <v>3000</v>
      </c>
      <c r="C10" s="15" t="n">
        <f aca="false">AVERAGE(D10,E10)</f>
        <v>5985</v>
      </c>
      <c r="D10" s="18" t="n">
        <v>3788</v>
      </c>
      <c r="E10" s="18" t="n">
        <v>8182</v>
      </c>
      <c r="F10" s="0" t="s">
        <v>64</v>
      </c>
      <c r="G10" s="0" t="s">
        <v>74</v>
      </c>
    </row>
    <row r="11" customFormat="false" ht="15" hidden="false" customHeight="false" outlineLevel="0" collapsed="false">
      <c r="A11" s="17" t="s">
        <v>75</v>
      </c>
      <c r="B11" s="18" t="n">
        <v>100</v>
      </c>
      <c r="C11" s="15" t="n">
        <f aca="false">AVERAGE(D11,E11)</f>
        <v>100</v>
      </c>
      <c r="D11" s="7" t="n">
        <f aca="false">B11</f>
        <v>100</v>
      </c>
      <c r="E11" s="7" t="n">
        <f aca="false">B11</f>
        <v>100</v>
      </c>
      <c r="F11" s="0" t="s">
        <v>76</v>
      </c>
    </row>
    <row r="13" customFormat="false" ht="15" hidden="false" customHeight="false" outlineLevel="0" collapsed="false">
      <c r="A13" s="14" t="s">
        <v>77</v>
      </c>
    </row>
    <row r="14" customFormat="false" ht="15" hidden="false" customHeight="false" outlineLevel="0" collapsed="false">
      <c r="A14" s="17" t="s">
        <v>78</v>
      </c>
      <c r="B14" s="23" t="n">
        <v>2</v>
      </c>
    </row>
    <row r="15" customFormat="false" ht="15" hidden="false" customHeight="false" outlineLevel="0" collapsed="false">
      <c r="A15" s="17" t="s">
        <v>79</v>
      </c>
      <c r="B15" s="18" t="n">
        <v>0</v>
      </c>
    </row>
    <row r="16" customFormat="false" ht="15" hidden="false" customHeight="false" outlineLevel="0" collapsed="false">
      <c r="A16" s="17" t="s">
        <v>80</v>
      </c>
      <c r="B16" s="18" t="n">
        <v>0</v>
      </c>
    </row>
    <row r="17" customFormat="false" ht="15" hidden="false" customHeight="false" outlineLevel="0" collapsed="false">
      <c r="A17" s="17" t="s">
        <v>81</v>
      </c>
      <c r="B17" s="23" t="n">
        <v>1</v>
      </c>
    </row>
    <row r="18" customFormat="false" ht="15" hidden="false" customHeight="false" outlineLevel="0" collapsed="false">
      <c r="A18" s="17" t="s">
        <v>82</v>
      </c>
      <c r="B18" s="18" t="n">
        <v>281</v>
      </c>
    </row>
    <row r="19" customFormat="false" ht="15" hidden="false" customHeight="false" outlineLevel="0" collapsed="false">
      <c r="A19" s="17" t="s">
        <v>83</v>
      </c>
      <c r="B19" s="24" t="n">
        <v>6</v>
      </c>
    </row>
    <row r="20" customFormat="false" ht="15" hidden="false" customHeight="false" outlineLevel="0" collapsed="false">
      <c r="A20" s="17" t="s">
        <v>84</v>
      </c>
      <c r="B20" s="18" t="n">
        <v>894</v>
      </c>
    </row>
    <row r="21" customFormat="false" ht="15" hidden="false" customHeight="false" outlineLevel="0" collapsed="false">
      <c r="A21" s="17" t="s">
        <v>85</v>
      </c>
      <c r="B21" s="25" t="n">
        <v>1</v>
      </c>
    </row>
    <row r="22" customFormat="false" ht="15" hidden="false" customHeight="false" outlineLevel="0" collapsed="false">
      <c r="A22" s="17" t="s">
        <v>86</v>
      </c>
      <c r="B22" s="21" t="n">
        <v>1</v>
      </c>
    </row>
    <row r="23" customFormat="false" ht="15" hidden="false" customHeight="false" outlineLevel="0" collapsed="false">
      <c r="A23" s="17" t="s">
        <v>87</v>
      </c>
      <c r="B23" s="23" t="n">
        <v>0</v>
      </c>
    </row>
    <row r="24" customFormat="false" ht="15" hidden="false" customHeight="false" outlineLevel="0" collapsed="false">
      <c r="A24" s="17" t="s">
        <v>88</v>
      </c>
      <c r="B24" s="24" t="n">
        <v>3768</v>
      </c>
    </row>
    <row r="25" customFormat="false" ht="15" hidden="false" customHeight="false" outlineLevel="0" collapsed="false">
      <c r="A25" s="17" t="s">
        <v>89</v>
      </c>
      <c r="B25" s="20" t="n">
        <f aca="false">AVERAGE(D25,E25)</f>
        <v>0.02</v>
      </c>
      <c r="C25" s="20" t="n">
        <f aca="false">AVERAGE(D25,E25)</f>
        <v>0.02</v>
      </c>
      <c r="D25" s="19" t="n">
        <v>0.01</v>
      </c>
      <c r="E25" s="19" t="n">
        <v>0.03</v>
      </c>
    </row>
    <row r="27" customFormat="false" ht="15" hidden="false" customHeight="false" outlineLevel="0" collapsed="false">
      <c r="A27" s="14" t="s">
        <v>90</v>
      </c>
    </row>
    <row r="28" customFormat="false" ht="15" hidden="false" customHeight="false" outlineLevel="0" collapsed="false">
      <c r="A28" s="6" t="s">
        <v>91</v>
      </c>
      <c r="B28" s="6" t="s">
        <v>92</v>
      </c>
      <c r="C28" s="6" t="s">
        <v>93</v>
      </c>
      <c r="D28" s="6" t="s">
        <v>94</v>
      </c>
    </row>
    <row r="29" customFormat="false" ht="15" hidden="false" customHeight="false" outlineLevel="0" collapsed="false">
      <c r="A29" s="0" t="s">
        <v>95</v>
      </c>
      <c r="B29" s="26"/>
      <c r="C29" s="27"/>
      <c r="D29" s="15" t="n">
        <f aca="false">C29</f>
        <v>0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96</v>
      </c>
    </row>
    <row r="3" customFormat="false" ht="15" hidden="false" customHeight="false" outlineLevel="0" collapsed="false">
      <c r="A3" s="17" t="s">
        <v>97</v>
      </c>
      <c r="B3" s="7" t="n">
        <f aca="false">Inputs!B5</f>
        <v>149</v>
      </c>
    </row>
    <row r="4" customFormat="false" ht="15" hidden="false" customHeight="false" outlineLevel="0" collapsed="false">
      <c r="A4" s="17" t="s">
        <v>17</v>
      </c>
      <c r="B4" s="10" t="n">
        <f aca="false">Inputs!B6</f>
        <v>0.919</v>
      </c>
    </row>
    <row r="5" customFormat="false" ht="15" hidden="false" customHeight="false" outlineLevel="0" collapsed="false">
      <c r="A5" s="17" t="s">
        <v>67</v>
      </c>
      <c r="B5" s="10" t="n">
        <f aca="false">Inputs!B7</f>
        <v>0</v>
      </c>
    </row>
    <row r="6" customFormat="false" ht="15" hidden="false" customHeight="false" outlineLevel="0" collapsed="false">
      <c r="A6" s="17" t="s">
        <v>98</v>
      </c>
      <c r="B6" s="10" t="n">
        <f aca="false">Inputs!B8</f>
        <v>0</v>
      </c>
    </row>
    <row r="7" customFormat="false" ht="15" hidden="false" customHeight="false" outlineLevel="0" collapsed="false">
      <c r="A7" s="17" t="s">
        <v>13</v>
      </c>
      <c r="B7" s="7" t="n">
        <f aca="false">Inputs!B11</f>
        <v>100</v>
      </c>
    </row>
    <row r="8" customFormat="false" ht="15" hidden="false" customHeight="false" outlineLevel="0" collapsed="false">
      <c r="A8" s="17" t="s">
        <v>99</v>
      </c>
      <c r="B8" s="7" t="n">
        <f aca="false">Inputs!B14*Inputs!B10+Inputs!B15</f>
        <v>6000</v>
      </c>
    </row>
    <row r="9" customFormat="false" ht="15" hidden="false" customHeight="false" outlineLevel="0" collapsed="false">
      <c r="A9" s="17" t="s">
        <v>100</v>
      </c>
      <c r="B9" s="28" t="n">
        <f aca="false">Inputs!B9</f>
        <v>2</v>
      </c>
    </row>
    <row r="10" customFormat="false" ht="15" hidden="false" customHeight="false" outlineLevel="0" collapsed="false">
      <c r="A10" s="17" t="s">
        <v>101</v>
      </c>
      <c r="B10" s="29" t="n">
        <f aca="false">B3*B4*(1-B5)^Inputs!B17*IF(ABS(1-(1-B5)*(1+B6))&lt;0.000001,MAX(0,60-Inputs!B17),(1-((1-B5)*(1+B6))^MAX(0,60-Inputs!B17))/(1-(1-B5)*(1+B6)))</f>
        <v>8078.929</v>
      </c>
    </row>
    <row r="11" customFormat="false" ht="15" hidden="false" customHeight="false" outlineLevel="0" collapsed="false">
      <c r="A11" s="17" t="s">
        <v>15</v>
      </c>
      <c r="B11" s="30" t="n">
        <f aca="false">IF(B7&gt;0,B10/B7,"n/a")</f>
        <v>80.78929</v>
      </c>
    </row>
    <row r="12" customFormat="false" ht="15" hidden="false" customHeight="false" outlineLevel="0" collapsed="false">
      <c r="A12" s="17" t="s">
        <v>102</v>
      </c>
      <c r="B12" s="31" t="n">
        <f aca="false">IF(B3*B4&lt;=0,"none",IF(B7&lt;=0,1+Inputs!B17,IF((1-B5)*(1+B6)&lt;=0,IF(B7&lt;=B3*B4*(1-B5)^Inputs!B17,1+Inputs!B17,"none"),IF(ABS(1-(1-B5)*(1+B6))&lt;0.000001,IF(B7/(B3*B4*(1-B5)^Inputs!B17)&lt;=60-Inputs!B17,ROUNDUP(B7/(B3*B4*(1-B5)^Inputs!B17),0)+Inputs!B17,"none"),IF(1-B7*(1-(1-B5)*(1+B6))/(B3*B4*(1-B5)^Inputs!B17)&lt;=0,"none",IF(ROUNDUP(LN(1-B7*(1-(1-B5)*(1+B6))/(B3*B4*(1-B5)^Inputs!B17))/LN((1-B5)*(1+B6)),0)&lt;=60-Inputs!B17,ROUNDUP(LN(1-B7*(1-(1-B5)*(1+B6))/(B3*B4*(1-B5)^Inputs!B17))/LN((1-B5)*(1+B6)),0)+Inputs!B17,"none"))))))</f>
        <v>2</v>
      </c>
    </row>
    <row r="15" customFormat="false" ht="15" hidden="false" customHeight="false" outlineLevel="0" collapsed="false">
      <c r="A15" s="6" t="s">
        <v>27</v>
      </c>
      <c r="B15" s="6" t="s">
        <v>103</v>
      </c>
      <c r="C15" s="6" t="s">
        <v>104</v>
      </c>
      <c r="D15" s="6" t="s">
        <v>105</v>
      </c>
      <c r="E15" s="6" t="s">
        <v>106</v>
      </c>
      <c r="F15" s="6" t="s">
        <v>107</v>
      </c>
      <c r="G15" s="6" t="s">
        <v>108</v>
      </c>
      <c r="H15" s="6" t="s">
        <v>109</v>
      </c>
      <c r="I15" s="6" t="s">
        <v>110</v>
      </c>
      <c r="J15" s="6" t="s">
        <v>111</v>
      </c>
      <c r="K15" s="6" t="s">
        <v>112</v>
      </c>
      <c r="L15" s="6" t="s">
        <v>113</v>
      </c>
    </row>
    <row r="16" customFormat="false" ht="15" hidden="false" customHeight="false" outlineLevel="0" collapsed="false">
      <c r="A16" s="0" t="n">
        <v>1</v>
      </c>
      <c r="B16" s="22" t="n">
        <f aca="false">IF(Inputs!B22=0,1,1/(1+EXP(-Inputs!B22*(A16-Inputs!B21))))</f>
        <v>0.5</v>
      </c>
      <c r="C16" s="32" t="n">
        <f aca="false">IF(A16-Inputs!B23&lt;1,0,$B$9*IF(Inputs!B22=0,1,1/(1+EXP(-Inputs!B22*(A16-Inputs!B23-Inputs!B21)))))</f>
        <v>1</v>
      </c>
      <c r="D16" s="32" t="n">
        <f aca="true">Inputs!B19*(1-$B$5)+IF(A16-Inputs!B17&lt;1,0,OFFSET(C16,-Inputs!B17,0)*(1-$B$5)^Inputs!B17)</f>
        <v>6</v>
      </c>
      <c r="E16" s="15" t="n">
        <f aca="false">IF(D16&gt;0,F16/D16,0)</f>
        <v>149</v>
      </c>
      <c r="F16" s="15" t="n">
        <f aca="true">Inputs!B20*(1-$B$5)*(1+$B$6)+IF(A16-Inputs!B17&lt;1,0,OFFSET(C16,-Inputs!B17,0)*(1-$B$5)^Inputs!B17)*$B$3</f>
        <v>894</v>
      </c>
      <c r="G16" s="15" t="n">
        <f aca="false">F16*$B$4</f>
        <v>821.586</v>
      </c>
      <c r="H16" s="15" t="n">
        <f aca="false">$B$9*B16*$B$7</f>
        <v>100</v>
      </c>
      <c r="I16" s="15" t="n">
        <f aca="false">$B$8</f>
        <v>6000</v>
      </c>
      <c r="J16" s="15" t="n">
        <f aca="false">G16-H16-I16</f>
        <v>-5278.414</v>
      </c>
      <c r="K16" s="15" t="n">
        <f aca="false">J16-Inputs!B16</f>
        <v>-5278.414</v>
      </c>
      <c r="L16" s="15" t="n">
        <f aca="false">MIN(J16:J51)</f>
        <v>-5278.414</v>
      </c>
    </row>
    <row r="17" customFormat="false" ht="15" hidden="false" customHeight="false" outlineLevel="0" collapsed="false">
      <c r="A17" s="0" t="n">
        <v>2</v>
      </c>
      <c r="B17" s="22" t="n">
        <f aca="false">IF(Inputs!B22=0,1,1/(1+EXP(-Inputs!B22*(A17-Inputs!B21))))</f>
        <v>0.731058578630005</v>
      </c>
      <c r="C17" s="32" t="n">
        <f aca="false">IF(A17-Inputs!B23&lt;1,0,$B$9*IF(Inputs!B22=0,1,1/(1+EXP(-Inputs!B22*(A17-Inputs!B23-Inputs!B21)))))</f>
        <v>1.46211715726001</v>
      </c>
      <c r="D17" s="32" t="n">
        <f aca="true">D16*(1-$B$5)+IF(A17-Inputs!B17&lt;1,0,OFFSET(C17,-Inputs!B17,0)*(1-$B$5)^Inputs!B17)</f>
        <v>7</v>
      </c>
      <c r="E17" s="15" t="n">
        <f aca="false">IF(D17&gt;0,F17/D17,0)</f>
        <v>149</v>
      </c>
      <c r="F17" s="15" t="n">
        <f aca="true">F16*(1-$B$5)*(1+$B$6)+IF(A17-Inputs!B17&lt;1,0,OFFSET(C17,-Inputs!B17,0)*(1-$B$5)^Inputs!B17)*$B$3</f>
        <v>1043</v>
      </c>
      <c r="G17" s="15" t="n">
        <f aca="false">F17*$B$4</f>
        <v>958.517</v>
      </c>
      <c r="H17" s="15" t="n">
        <f aca="false">$B$9*B17*$B$7</f>
        <v>146.211715726001</v>
      </c>
      <c r="I17" s="15" t="n">
        <f aca="false">$B$8</f>
        <v>6000</v>
      </c>
      <c r="J17" s="15" t="n">
        <f aca="false">G17-H17-I17</f>
        <v>-5187.694715726</v>
      </c>
      <c r="K17" s="15" t="n">
        <f aca="false">K16+J17</f>
        <v>-10466.108715726</v>
      </c>
      <c r="L17" s="15" t="n">
        <f aca="false">MIN(J17:J51)</f>
        <v>-5187.694715726</v>
      </c>
    </row>
    <row r="18" customFormat="false" ht="15" hidden="false" customHeight="false" outlineLevel="0" collapsed="false">
      <c r="A18" s="0" t="n">
        <v>3</v>
      </c>
      <c r="B18" s="22" t="n">
        <f aca="false">IF(Inputs!B22=0,1,1/(1+EXP(-Inputs!B22*(A18-Inputs!B21))))</f>
        <v>0.880797077977882</v>
      </c>
      <c r="C18" s="32" t="n">
        <f aca="false">IF(A18-Inputs!B23&lt;1,0,$B$9*IF(Inputs!B22=0,1,1/(1+EXP(-Inputs!B22*(A18-Inputs!B23-Inputs!B21)))))</f>
        <v>1.76159415595576</v>
      </c>
      <c r="D18" s="32" t="n">
        <f aca="true">D17*(1-$B$5)+IF(A18-Inputs!B17&lt;1,0,OFFSET(C18,-Inputs!B17,0)*(1-$B$5)^Inputs!B17)</f>
        <v>8.46211715726001</v>
      </c>
      <c r="E18" s="15" t="n">
        <f aca="false">IF(D18&gt;0,F18/D18,0)</f>
        <v>149</v>
      </c>
      <c r="F18" s="15" t="n">
        <f aca="true">F17*(1-$B$5)*(1+$B$6)+IF(A18-Inputs!B17&lt;1,0,OFFSET(C18,-Inputs!B17,0)*(1-$B$5)^Inputs!B17)*$B$3</f>
        <v>1260.85545643174</v>
      </c>
      <c r="G18" s="15" t="n">
        <f aca="false">F18*$B$4</f>
        <v>1158.72616446077</v>
      </c>
      <c r="H18" s="15" t="n">
        <f aca="false">$B$9*B18*$B$7</f>
        <v>176.159415595576</v>
      </c>
      <c r="I18" s="15" t="n">
        <f aca="false">$B$8</f>
        <v>6000</v>
      </c>
      <c r="J18" s="15" t="n">
        <f aca="false">G18-H18-I18</f>
        <v>-5017.43325113481</v>
      </c>
      <c r="K18" s="15" t="n">
        <f aca="false">K17+J18</f>
        <v>-15483.5419668608</v>
      </c>
      <c r="L18" s="15" t="n">
        <f aca="false">MIN(J18:J51)</f>
        <v>-5017.43325113481</v>
      </c>
    </row>
    <row r="19" customFormat="false" ht="15" hidden="false" customHeight="false" outlineLevel="0" collapsed="false">
      <c r="A19" s="0" t="n">
        <v>4</v>
      </c>
      <c r="B19" s="22" t="n">
        <f aca="false">IF(Inputs!B22=0,1,1/(1+EXP(-Inputs!B22*(A19-Inputs!B21))))</f>
        <v>0.952574126822433</v>
      </c>
      <c r="C19" s="32" t="n">
        <f aca="false">IF(A19-Inputs!B23&lt;1,0,$B$9*IF(Inputs!B22=0,1,1/(1+EXP(-Inputs!B22*(A19-Inputs!B23-Inputs!B21)))))</f>
        <v>1.90514825364487</v>
      </c>
      <c r="D19" s="32" t="n">
        <f aca="true">D18*(1-$B$5)+IF(A19-Inputs!B17&lt;1,0,OFFSET(C19,-Inputs!B17,0)*(1-$B$5)^Inputs!B17)</f>
        <v>10.2237113132158</v>
      </c>
      <c r="E19" s="15" t="n">
        <f aca="false">IF(D19&gt;0,F19/D19,0)</f>
        <v>149</v>
      </c>
      <c r="F19" s="15" t="n">
        <f aca="true">F18*(1-$B$5)*(1+$B$6)+IF(A19-Inputs!B17&lt;1,0,OFFSET(C19,-Inputs!B17,0)*(1-$B$5)^Inputs!B17)*$B$3</f>
        <v>1523.33298566915</v>
      </c>
      <c r="G19" s="15" t="n">
        <f aca="false">F19*$B$4</f>
        <v>1399.94301382995</v>
      </c>
      <c r="H19" s="15" t="n">
        <f aca="false">$B$9*B19*$B$7</f>
        <v>190.514825364487</v>
      </c>
      <c r="I19" s="15" t="n">
        <f aca="false">$B$8</f>
        <v>6000</v>
      </c>
      <c r="J19" s="15" t="n">
        <f aca="false">G19-H19-I19</f>
        <v>-4790.57181153454</v>
      </c>
      <c r="K19" s="15" t="n">
        <f aca="false">K18+J19</f>
        <v>-20274.1137783953</v>
      </c>
      <c r="L19" s="15" t="n">
        <f aca="false">MIN(J19:J51)</f>
        <v>-4790.57181153454</v>
      </c>
    </row>
    <row r="20" customFormat="false" ht="15" hidden="false" customHeight="false" outlineLevel="0" collapsed="false">
      <c r="A20" s="0" t="n">
        <v>5</v>
      </c>
      <c r="B20" s="22" t="n">
        <f aca="false">IF(Inputs!B22=0,1,1/(1+EXP(-Inputs!B22*(A20-Inputs!B21))))</f>
        <v>0.982013790037909</v>
      </c>
      <c r="C20" s="32" t="n">
        <f aca="false">IF(A20-Inputs!B23&lt;1,0,$B$9*IF(Inputs!B22=0,1,1/(1+EXP(-Inputs!B22*(A20-Inputs!B23-Inputs!B21)))))</f>
        <v>1.96402758007582</v>
      </c>
      <c r="D20" s="32" t="n">
        <f aca="true">D19*(1-$B$5)+IF(A20-Inputs!B17&lt;1,0,OFFSET(C20,-Inputs!B17,0)*(1-$B$5)^Inputs!B17)</f>
        <v>12.1288595668606</v>
      </c>
      <c r="E20" s="15" t="n">
        <f aca="false">IF(D20&gt;0,F20/D20,0)</f>
        <v>149</v>
      </c>
      <c r="F20" s="15" t="n">
        <f aca="true">F19*(1-$B$5)*(1+$B$6)+IF(A20-Inputs!B17&lt;1,0,OFFSET(C20,-Inputs!B17,0)*(1-$B$5)^Inputs!B17)*$B$3</f>
        <v>1807.20007546224</v>
      </c>
      <c r="G20" s="15" t="n">
        <f aca="false">F20*$B$4</f>
        <v>1660.81686934979</v>
      </c>
      <c r="H20" s="15" t="n">
        <f aca="false">$B$9*B20*$B$7</f>
        <v>196.402758007582</v>
      </c>
      <c r="I20" s="15" t="n">
        <f aca="false">$B$8</f>
        <v>6000</v>
      </c>
      <c r="J20" s="15" t="n">
        <f aca="false">G20-H20-I20</f>
        <v>-4535.58588865779</v>
      </c>
      <c r="K20" s="15" t="n">
        <f aca="false">K19+J20</f>
        <v>-24809.6996670531</v>
      </c>
      <c r="L20" s="15" t="n">
        <f aca="false">MIN(J20:J51)</f>
        <v>-4535.58588865779</v>
      </c>
    </row>
    <row r="21" customFormat="false" ht="15" hidden="false" customHeight="false" outlineLevel="0" collapsed="false">
      <c r="A21" s="0" t="n">
        <v>6</v>
      </c>
      <c r="B21" s="22" t="n">
        <f aca="false">IF(Inputs!B22=0,1,1/(1+EXP(-Inputs!B22*(A21-Inputs!B21))))</f>
        <v>0.993307149075715</v>
      </c>
      <c r="C21" s="32" t="n">
        <f aca="false">IF(A21-Inputs!B23&lt;1,0,$B$9*IF(Inputs!B22=0,1,1/(1+EXP(-Inputs!B22*(A21-Inputs!B23-Inputs!B21)))))</f>
        <v>1.98661429815143</v>
      </c>
      <c r="D21" s="32" t="n">
        <f aca="true">D20*(1-$B$5)+IF(A21-Inputs!B17&lt;1,0,OFFSET(C21,-Inputs!B17,0)*(1-$B$5)^Inputs!B17)</f>
        <v>14.0928871469365</v>
      </c>
      <c r="E21" s="15" t="n">
        <f aca="false">IF(D21&gt;0,F21/D21,0)</f>
        <v>149</v>
      </c>
      <c r="F21" s="15" t="n">
        <f aca="true">F20*(1-$B$5)*(1+$B$6)+IF(A21-Inputs!B17&lt;1,0,OFFSET(C21,-Inputs!B17,0)*(1-$B$5)^Inputs!B17)*$B$3</f>
        <v>2099.84018489353</v>
      </c>
      <c r="G21" s="15" t="n">
        <f aca="false">F21*$B$4</f>
        <v>1929.75312991716</v>
      </c>
      <c r="H21" s="15" t="n">
        <f aca="false">$B$9*B21*$B$7</f>
        <v>198.661429815143</v>
      </c>
      <c r="I21" s="15" t="n">
        <f aca="false">$B$8</f>
        <v>6000</v>
      </c>
      <c r="J21" s="15" t="n">
        <f aca="false">G21-H21-I21</f>
        <v>-4268.90829989799</v>
      </c>
      <c r="K21" s="15" t="n">
        <f aca="false">K20+J21</f>
        <v>-29078.6079669511</v>
      </c>
      <c r="L21" s="15" t="n">
        <f aca="false">MIN(J21:J51)</f>
        <v>-4268.90829989799</v>
      </c>
    </row>
    <row r="22" customFormat="false" ht="15" hidden="false" customHeight="false" outlineLevel="0" collapsed="false">
      <c r="A22" s="0" t="n">
        <v>7</v>
      </c>
      <c r="B22" s="22" t="n">
        <f aca="false">IF(Inputs!B22=0,1,1/(1+EXP(-Inputs!B22*(A22-Inputs!B21))))</f>
        <v>0.997527376843365</v>
      </c>
      <c r="C22" s="32" t="n">
        <f aca="false">IF(A22-Inputs!B23&lt;1,0,$B$9*IF(Inputs!B22=0,1,1/(1+EXP(-Inputs!B22*(A22-Inputs!B23-Inputs!B21)))))</f>
        <v>1.99505475368673</v>
      </c>
      <c r="D22" s="32" t="n">
        <f aca="true">D21*(1-$B$5)+IF(A22-Inputs!B17&lt;1,0,OFFSET(C22,-Inputs!B17,0)*(1-$B$5)^Inputs!B17)</f>
        <v>16.0795014450879</v>
      </c>
      <c r="E22" s="15" t="n">
        <f aca="false">IF(D22&gt;0,F22/D22,0)</f>
        <v>149</v>
      </c>
      <c r="F22" s="15" t="n">
        <f aca="true">F21*(1-$B$5)*(1+$B$6)+IF(A22-Inputs!B17&lt;1,0,OFFSET(C22,-Inputs!B17,0)*(1-$B$5)^Inputs!B17)*$B$3</f>
        <v>2395.8457153181</v>
      </c>
      <c r="G22" s="15" t="n">
        <f aca="false">F22*$B$4</f>
        <v>2201.78221237733</v>
      </c>
      <c r="H22" s="15" t="n">
        <f aca="false">$B$9*B22*$B$7</f>
        <v>199.505475368673</v>
      </c>
      <c r="I22" s="15" t="n">
        <f aca="false">$B$8</f>
        <v>6000</v>
      </c>
      <c r="J22" s="15" t="n">
        <f aca="false">G22-H22-I22</f>
        <v>-3997.72326299134</v>
      </c>
      <c r="K22" s="15" t="n">
        <f aca="false">K21+J22</f>
        <v>-33076.3312299425</v>
      </c>
      <c r="L22" s="15" t="n">
        <f aca="false">MIN(J22:J51)</f>
        <v>-3997.72326299134</v>
      </c>
    </row>
    <row r="23" customFormat="false" ht="15" hidden="false" customHeight="false" outlineLevel="0" collapsed="false">
      <c r="A23" s="0" t="n">
        <v>8</v>
      </c>
      <c r="B23" s="22" t="n">
        <f aca="false">IF(Inputs!B22=0,1,1/(1+EXP(-Inputs!B22*(A23-Inputs!B21))))</f>
        <v>0.999088948805599</v>
      </c>
      <c r="C23" s="32" t="n">
        <f aca="false">IF(A23-Inputs!B23&lt;1,0,$B$9*IF(Inputs!B22=0,1,1/(1+EXP(-Inputs!B22*(A23-Inputs!B23-Inputs!B21)))))</f>
        <v>1.9981778976112</v>
      </c>
      <c r="D23" s="32" t="n">
        <f aca="true">D22*(1-$B$5)+IF(A23-Inputs!B17&lt;1,0,OFFSET(C23,-Inputs!B17,0)*(1-$B$5)^Inputs!B17)</f>
        <v>18.0745561987746</v>
      </c>
      <c r="E23" s="15" t="n">
        <f aca="false">IF(D23&gt;0,F23/D23,0)</f>
        <v>149</v>
      </c>
      <c r="F23" s="15" t="n">
        <f aca="true">F22*(1-$B$5)*(1+$B$6)+IF(A23-Inputs!B17&lt;1,0,OFFSET(C23,-Inputs!B17,0)*(1-$B$5)^Inputs!B17)*$B$3</f>
        <v>2693.10887361742</v>
      </c>
      <c r="G23" s="15" t="n">
        <f aca="false">F23*$B$4</f>
        <v>2474.96705485441</v>
      </c>
      <c r="H23" s="15" t="n">
        <f aca="false">$B$9*B23*$B$7</f>
        <v>199.81778976112</v>
      </c>
      <c r="I23" s="15" t="n">
        <f aca="false">$B$8</f>
        <v>6000</v>
      </c>
      <c r="J23" s="15" t="n">
        <f aca="false">G23-H23-I23</f>
        <v>-3724.85073490671</v>
      </c>
      <c r="K23" s="15" t="n">
        <f aca="false">K22+J23</f>
        <v>-36801.1819648492</v>
      </c>
      <c r="L23" s="15" t="n">
        <f aca="false">MIN(J23:J51)</f>
        <v>-3724.85073490671</v>
      </c>
    </row>
    <row r="24" customFormat="false" ht="15" hidden="false" customHeight="false" outlineLevel="0" collapsed="false">
      <c r="A24" s="0" t="n">
        <v>9</v>
      </c>
      <c r="B24" s="22" t="n">
        <f aca="false">IF(Inputs!B22=0,1,1/(1+EXP(-Inputs!B22*(A24-Inputs!B21))))</f>
        <v>0.999664649869534</v>
      </c>
      <c r="C24" s="32" t="n">
        <f aca="false">IF(A24-Inputs!B23&lt;1,0,$B$9*IF(Inputs!B22=0,1,1/(1+EXP(-Inputs!B22*(A24-Inputs!B23-Inputs!B21)))))</f>
        <v>1.99932929973907</v>
      </c>
      <c r="D24" s="32" t="n">
        <f aca="true">D23*(1-$B$5)+IF(A24-Inputs!B17&lt;1,0,OFFSET(C24,-Inputs!B17,0)*(1-$B$5)^Inputs!B17)</f>
        <v>20.0727340963858</v>
      </c>
      <c r="E24" s="15" t="n">
        <f aca="false">IF(D24&gt;0,F24/D24,0)</f>
        <v>149</v>
      </c>
      <c r="F24" s="15" t="n">
        <f aca="true">F23*(1-$B$5)*(1+$B$6)+IF(A24-Inputs!B17&lt;1,0,OFFSET(C24,-Inputs!B17,0)*(1-$B$5)^Inputs!B17)*$B$3</f>
        <v>2990.83738036149</v>
      </c>
      <c r="G24" s="15" t="n">
        <f aca="false">F24*$B$4</f>
        <v>2748.57955255221</v>
      </c>
      <c r="H24" s="15" t="n">
        <f aca="false">$B$9*B24*$B$7</f>
        <v>199.932929973907</v>
      </c>
      <c r="I24" s="15" t="n">
        <f aca="false">$B$8</f>
        <v>6000</v>
      </c>
      <c r="J24" s="15" t="n">
        <f aca="false">G24-H24-I24</f>
        <v>-3451.3533774217</v>
      </c>
      <c r="K24" s="15" t="n">
        <f aca="false">K23+J24</f>
        <v>-40252.5353422709</v>
      </c>
      <c r="L24" s="15" t="n">
        <f aca="false">MIN(J24:J51)</f>
        <v>-3451.3533774217</v>
      </c>
    </row>
    <row r="25" customFormat="false" ht="15" hidden="false" customHeight="false" outlineLevel="0" collapsed="false">
      <c r="A25" s="0" t="n">
        <v>10</v>
      </c>
      <c r="B25" s="22" t="n">
        <f aca="false">IF(Inputs!B22=0,1,1/(1+EXP(-Inputs!B22*(A25-Inputs!B21))))</f>
        <v>0.999876605424014</v>
      </c>
      <c r="C25" s="32" t="n">
        <f aca="false">IF(A25-Inputs!B23&lt;1,0,$B$9*IF(Inputs!B22=0,1,1/(1+EXP(-Inputs!B22*(A25-Inputs!B23-Inputs!B21)))))</f>
        <v>1.99975321084803</v>
      </c>
      <c r="D25" s="32" t="n">
        <f aca="true">D24*(1-$B$5)+IF(A25-Inputs!B17&lt;1,0,OFFSET(C25,-Inputs!B17,0)*(1-$B$5)^Inputs!B17)</f>
        <v>22.0720633961249</v>
      </c>
      <c r="E25" s="15" t="n">
        <f aca="false">IF(D25&gt;0,F25/D25,0)</f>
        <v>149</v>
      </c>
      <c r="F25" s="15" t="n">
        <f aca="true">F24*(1-$B$5)*(1+$B$6)+IF(A25-Inputs!B17&lt;1,0,OFFSET(C25,-Inputs!B17,0)*(1-$B$5)^Inputs!B17)*$B$3</f>
        <v>3288.73744602261</v>
      </c>
      <c r="G25" s="15" t="n">
        <f aca="false">F25*$B$4</f>
        <v>3022.34971289478</v>
      </c>
      <c r="H25" s="15" t="n">
        <f aca="false">$B$9*B25*$B$7</f>
        <v>199.975321084803</v>
      </c>
      <c r="I25" s="15" t="n">
        <f aca="false">$B$8</f>
        <v>6000</v>
      </c>
      <c r="J25" s="15" t="n">
        <f aca="false">G25-H25-I25</f>
        <v>-3177.62560819003</v>
      </c>
      <c r="K25" s="15" t="n">
        <f aca="false">K24+J25</f>
        <v>-43430.1609504609</v>
      </c>
      <c r="L25" s="15" t="n">
        <f aca="false">MIN(J25:J51)</f>
        <v>-3177.62560819003</v>
      </c>
    </row>
    <row r="26" customFormat="false" ht="15" hidden="false" customHeight="false" outlineLevel="0" collapsed="false">
      <c r="A26" s="0" t="n">
        <v>11</v>
      </c>
      <c r="B26" s="22" t="n">
        <f aca="false">IF(Inputs!B22=0,1,1/(1+EXP(-Inputs!B22*(A26-Inputs!B21))))</f>
        <v>0.999954602131298</v>
      </c>
      <c r="C26" s="32" t="n">
        <f aca="false">IF(A26-Inputs!B23&lt;1,0,$B$9*IF(Inputs!B22=0,1,1/(1+EXP(-Inputs!B22*(A26-Inputs!B23-Inputs!B21)))))</f>
        <v>1.9999092042626</v>
      </c>
      <c r="D26" s="32" t="n">
        <f aca="true">D25*(1-$B$5)+IF(A26-Inputs!B17&lt;1,0,OFFSET(C26,-Inputs!B17,0)*(1-$B$5)^Inputs!B17)</f>
        <v>24.0718166069729</v>
      </c>
      <c r="E26" s="15" t="n">
        <f aca="false">IF(D26&gt;0,F26/D26,0)</f>
        <v>149</v>
      </c>
      <c r="F26" s="15" t="n">
        <f aca="true">F25*(1-$B$5)*(1+$B$6)+IF(A26-Inputs!B17&lt;1,0,OFFSET(C26,-Inputs!B17,0)*(1-$B$5)^Inputs!B17)*$B$3</f>
        <v>3586.70067443896</v>
      </c>
      <c r="G26" s="15" t="n">
        <f aca="false">F26*$B$4</f>
        <v>3296.17791980941</v>
      </c>
      <c r="H26" s="15" t="n">
        <f aca="false">$B$9*B26*$B$7</f>
        <v>199.99092042626</v>
      </c>
      <c r="I26" s="15" t="n">
        <f aca="false">$B$8</f>
        <v>6000</v>
      </c>
      <c r="J26" s="15" t="n">
        <f aca="false">G26-H26-I26</f>
        <v>-2903.81300061685</v>
      </c>
      <c r="K26" s="15" t="n">
        <f aca="false">K25+J26</f>
        <v>-46333.9739510778</v>
      </c>
      <c r="L26" s="15" t="n">
        <f aca="false">MIN(J26:J51)</f>
        <v>-2903.81300061685</v>
      </c>
    </row>
    <row r="27" customFormat="false" ht="15" hidden="false" customHeight="false" outlineLevel="0" collapsed="false">
      <c r="A27" s="0" t="n">
        <v>12</v>
      </c>
      <c r="B27" s="22" t="n">
        <f aca="false">IF(Inputs!B22=0,1,1/(1+EXP(-Inputs!B22*(A27-Inputs!B21))))</f>
        <v>0.999983298578152</v>
      </c>
      <c r="C27" s="32" t="n">
        <f aca="false">IF(A27-Inputs!B23&lt;1,0,$B$9*IF(Inputs!B22=0,1,1/(1+EXP(-Inputs!B22*(A27-Inputs!B23-Inputs!B21)))))</f>
        <v>1.9999665971563</v>
      </c>
      <c r="D27" s="32" t="n">
        <f aca="true">D26*(1-$B$5)+IF(A27-Inputs!B17&lt;1,0,OFFSET(C27,-Inputs!B17,0)*(1-$B$5)^Inputs!B17)</f>
        <v>26.0717258112355</v>
      </c>
      <c r="E27" s="15" t="n">
        <f aca="false">IF(D27&gt;0,F27/D27,0)</f>
        <v>149</v>
      </c>
      <c r="F27" s="15" t="n">
        <f aca="true">F26*(1-$B$5)*(1+$B$6)+IF(A27-Inputs!B17&lt;1,0,OFFSET(C27,-Inputs!B17,0)*(1-$B$5)^Inputs!B17)*$B$3</f>
        <v>3884.68714587409</v>
      </c>
      <c r="G27" s="15" t="n">
        <f aca="false">F27*$B$4</f>
        <v>3570.02748705829</v>
      </c>
      <c r="H27" s="15" t="n">
        <f aca="false">$B$9*B27*$B$7</f>
        <v>199.99665971563</v>
      </c>
      <c r="I27" s="15" t="n">
        <f aca="false">$B$8</f>
        <v>6000</v>
      </c>
      <c r="J27" s="15" t="n">
        <f aca="false">G27-H27-I27</f>
        <v>-2629.96917265734</v>
      </c>
      <c r="K27" s="15" t="n">
        <f aca="false">K26+J27</f>
        <v>-48963.9431237351</v>
      </c>
      <c r="L27" s="15" t="n">
        <f aca="false">MIN(J27:J51)</f>
        <v>-2629.96917265734</v>
      </c>
    </row>
    <row r="28" customFormat="false" ht="15" hidden="false" customHeight="false" outlineLevel="0" collapsed="false">
      <c r="A28" s="0" t="n">
        <v>13</v>
      </c>
      <c r="B28" s="22" t="n">
        <f aca="false">IF(Inputs!B22=0,1,1/(1+EXP(-Inputs!B22*(A28-Inputs!B21))))</f>
        <v>0.999993855825398</v>
      </c>
      <c r="C28" s="32" t="n">
        <f aca="false">IF(A28-Inputs!B23&lt;1,0,$B$9*IF(Inputs!B22=0,1,1/(1+EXP(-Inputs!B22*(A28-Inputs!B23-Inputs!B21)))))</f>
        <v>1.9999877116508</v>
      </c>
      <c r="D28" s="32" t="n">
        <f aca="true">D27*(1-$B$5)+IF(A28-Inputs!B17&lt;1,0,OFFSET(C28,-Inputs!B17,0)*(1-$B$5)^Inputs!B17)</f>
        <v>28.0716924083918</v>
      </c>
      <c r="E28" s="15" t="n">
        <f aca="false">IF(D28&gt;0,F28/D28,0)</f>
        <v>149</v>
      </c>
      <c r="F28" s="15" t="n">
        <f aca="true">F27*(1-$B$5)*(1+$B$6)+IF(A28-Inputs!B17&lt;1,0,OFFSET(C28,-Inputs!B17,0)*(1-$B$5)^Inputs!B17)*$B$3</f>
        <v>4182.68216885038</v>
      </c>
      <c r="G28" s="15" t="n">
        <f aca="false">F28*$B$4</f>
        <v>3843.8849131735</v>
      </c>
      <c r="H28" s="15" t="n">
        <f aca="false">$B$9*B28*$B$7</f>
        <v>199.99877116508</v>
      </c>
      <c r="I28" s="15" t="n">
        <f aca="false">$B$8</f>
        <v>6000</v>
      </c>
      <c r="J28" s="15" t="n">
        <f aca="false">G28-H28-I28</f>
        <v>-2356.11385799158</v>
      </c>
      <c r="K28" s="15" t="n">
        <f aca="false">K27+J28</f>
        <v>-51320.0569817267</v>
      </c>
      <c r="L28" s="15" t="n">
        <f aca="false">MIN(J28:J51)</f>
        <v>-2356.11385799158</v>
      </c>
    </row>
    <row r="29" customFormat="false" ht="15" hidden="false" customHeight="false" outlineLevel="0" collapsed="false">
      <c r="A29" s="0" t="n">
        <v>14</v>
      </c>
      <c r="B29" s="22" t="n">
        <f aca="false">IF(Inputs!B22=0,1,1/(1+EXP(-Inputs!B22*(A29-Inputs!B21))))</f>
        <v>0.999997739675702</v>
      </c>
      <c r="C29" s="32" t="n">
        <f aca="false">IF(A29-Inputs!B23&lt;1,0,$B$9*IF(Inputs!B22=0,1,1/(1+EXP(-Inputs!B22*(A29-Inputs!B23-Inputs!B21)))))</f>
        <v>1.9999954793514</v>
      </c>
      <c r="D29" s="32" t="n">
        <f aca="true">D28*(1-$B$5)+IF(A29-Inputs!B17&lt;1,0,OFFSET(C29,-Inputs!B17,0)*(1-$B$5)^Inputs!B17)</f>
        <v>30.0716801200426</v>
      </c>
      <c r="E29" s="15" t="n">
        <f aca="false">IF(D29&gt;0,F29/D29,0)</f>
        <v>149</v>
      </c>
      <c r="F29" s="15" t="n">
        <f aca="true">F28*(1-$B$5)*(1+$B$6)+IF(A29-Inputs!B17&lt;1,0,OFFSET(C29,-Inputs!B17,0)*(1-$B$5)^Inputs!B17)*$B$3</f>
        <v>4480.68033788635</v>
      </c>
      <c r="G29" s="15" t="n">
        <f aca="false">F29*$B$4</f>
        <v>4117.74523051755</v>
      </c>
      <c r="H29" s="15" t="n">
        <f aca="false">$B$9*B29*$B$7</f>
        <v>199.99954793514</v>
      </c>
      <c r="I29" s="15" t="n">
        <f aca="false">$B$8</f>
        <v>6000</v>
      </c>
      <c r="J29" s="15" t="n">
        <f aca="false">G29-H29-I29</f>
        <v>-2082.25431741759</v>
      </c>
      <c r="K29" s="15" t="n">
        <f aca="false">K28+J29</f>
        <v>-53402.3112991443</v>
      </c>
      <c r="L29" s="15" t="n">
        <f aca="false">MIN(J29:J51)</f>
        <v>-2082.25431741759</v>
      </c>
    </row>
    <row r="30" customFormat="false" ht="15" hidden="false" customHeight="false" outlineLevel="0" collapsed="false">
      <c r="A30" s="0" t="n">
        <v>15</v>
      </c>
      <c r="B30" s="22" t="n">
        <f aca="false">IF(Inputs!B22=0,1,1/(1+EXP(-Inputs!B22*(A30-Inputs!B21))))</f>
        <v>0.999999168471972</v>
      </c>
      <c r="C30" s="32" t="n">
        <f aca="false">IF(A30-Inputs!B23&lt;1,0,$B$9*IF(Inputs!B22=0,1,1/(1+EXP(-Inputs!B22*(A30-Inputs!B23-Inputs!B21)))))</f>
        <v>1.99999833694394</v>
      </c>
      <c r="D30" s="32" t="n">
        <f aca="true">D29*(1-$B$5)+IF(A30-Inputs!B17&lt;1,0,OFFSET(C30,-Inputs!B17,0)*(1-$B$5)^Inputs!B17)</f>
        <v>32.071675599394</v>
      </c>
      <c r="E30" s="15" t="n">
        <f aca="false">IF(D30&gt;0,F30/D30,0)</f>
        <v>149</v>
      </c>
      <c r="F30" s="15" t="n">
        <f aca="true">F29*(1-$B$5)*(1+$B$6)+IF(A30-Inputs!B17&lt;1,0,OFFSET(C30,-Inputs!B17,0)*(1-$B$5)^Inputs!B17)*$B$3</f>
        <v>4778.67966430971</v>
      </c>
      <c r="G30" s="15" t="n">
        <f aca="false">F30*$B$4</f>
        <v>4391.60661150062</v>
      </c>
      <c r="H30" s="15" t="n">
        <f aca="false">$B$9*B30*$B$7</f>
        <v>199.999833694394</v>
      </c>
      <c r="I30" s="15" t="n">
        <f aca="false">$B$8</f>
        <v>6000</v>
      </c>
      <c r="J30" s="15" t="n">
        <f aca="false">G30-H30-I30</f>
        <v>-1808.39322219377</v>
      </c>
      <c r="K30" s="15" t="n">
        <f aca="false">K29+J30</f>
        <v>-55210.704521338</v>
      </c>
      <c r="L30" s="15" t="n">
        <f aca="false">MIN(J30:J51)</f>
        <v>-1808.39322219377</v>
      </c>
    </row>
    <row r="31" customFormat="false" ht="15" hidden="false" customHeight="false" outlineLevel="0" collapsed="false">
      <c r="A31" s="0" t="n">
        <v>16</v>
      </c>
      <c r="B31" s="22" t="n">
        <f aca="false">IF(Inputs!B22=0,1,1/(1+EXP(-Inputs!B22*(A31-Inputs!B21))))</f>
        <v>0.999999694097773</v>
      </c>
      <c r="C31" s="32" t="n">
        <f aca="false">IF(A31-Inputs!B23&lt;1,0,$B$9*IF(Inputs!B22=0,1,1/(1+EXP(-Inputs!B22*(A31-Inputs!B23-Inputs!B21)))))</f>
        <v>1.99999938819555</v>
      </c>
      <c r="D31" s="32" t="n">
        <f aca="true">D30*(1-$B$5)+IF(A31-Inputs!B17&lt;1,0,OFFSET(C31,-Inputs!B17,0)*(1-$B$5)^Inputs!B17)</f>
        <v>34.071673936338</v>
      </c>
      <c r="E31" s="15" t="n">
        <f aca="false">IF(D31&gt;0,F31/D31,0)</f>
        <v>149</v>
      </c>
      <c r="F31" s="15" t="n">
        <f aca="true">F30*(1-$B$5)*(1+$B$6)+IF(A31-Inputs!B17&lt;1,0,OFFSET(C31,-Inputs!B17,0)*(1-$B$5)^Inputs!B17)*$B$3</f>
        <v>5076.67941651436</v>
      </c>
      <c r="G31" s="15" t="n">
        <f aca="false">F31*$B$4</f>
        <v>4665.46838377669</v>
      </c>
      <c r="H31" s="15" t="n">
        <f aca="false">$B$9*B31*$B$7</f>
        <v>199.999938819555</v>
      </c>
      <c r="I31" s="15" t="n">
        <f aca="false">$B$8</f>
        <v>6000</v>
      </c>
      <c r="J31" s="15" t="n">
        <f aca="false">G31-H31-I31</f>
        <v>-1534.53155504286</v>
      </c>
      <c r="K31" s="15" t="n">
        <f aca="false">K30+J31</f>
        <v>-56745.2360763809</v>
      </c>
      <c r="L31" s="15" t="n">
        <f aca="false">MIN(J31:J51)</f>
        <v>-1534.53155504286</v>
      </c>
    </row>
    <row r="32" customFormat="false" ht="15" hidden="false" customHeight="false" outlineLevel="0" collapsed="false">
      <c r="A32" s="0" t="n">
        <v>17</v>
      </c>
      <c r="B32" s="22" t="n">
        <f aca="false">IF(Inputs!B22=0,1,1/(1+EXP(-Inputs!B22*(A32-Inputs!B21))))</f>
        <v>0.999999887464838</v>
      </c>
      <c r="C32" s="32" t="n">
        <f aca="false">IF(A32-Inputs!B23&lt;1,0,$B$9*IF(Inputs!B22=0,1,1/(1+EXP(-Inputs!B22*(A32-Inputs!B23-Inputs!B21)))))</f>
        <v>1.99999977492968</v>
      </c>
      <c r="D32" s="32" t="n">
        <f aca="true">D31*(1-$B$5)+IF(A32-Inputs!B17&lt;1,0,OFFSET(C32,-Inputs!B17,0)*(1-$B$5)^Inputs!B17)</f>
        <v>36.0716733245335</v>
      </c>
      <c r="E32" s="15" t="n">
        <f aca="false">IF(D32&gt;0,F32/D32,0)</f>
        <v>149</v>
      </c>
      <c r="F32" s="15" t="n">
        <f aca="true">F31*(1-$B$5)*(1+$B$6)+IF(A32-Inputs!B17&lt;1,0,OFFSET(C32,-Inputs!B17,0)*(1-$B$5)^Inputs!B17)*$B$3</f>
        <v>5374.67932535549</v>
      </c>
      <c r="G32" s="15" t="n">
        <f aca="false">F32*$B$4</f>
        <v>4939.3303000017</v>
      </c>
      <c r="H32" s="15" t="n">
        <f aca="false">$B$9*B32*$B$7</f>
        <v>199.999977492968</v>
      </c>
      <c r="I32" s="15" t="n">
        <f aca="false">$B$8</f>
        <v>6000</v>
      </c>
      <c r="J32" s="15" t="n">
        <f aca="false">G32-H32-I32</f>
        <v>-1260.66967749127</v>
      </c>
      <c r="K32" s="15" t="n">
        <f aca="false">K31+J32</f>
        <v>-58005.9057538722</v>
      </c>
      <c r="L32" s="15" t="n">
        <f aca="false">MIN(J32:J51)</f>
        <v>-1260.66967749127</v>
      </c>
    </row>
    <row r="33" customFormat="false" ht="15" hidden="false" customHeight="false" outlineLevel="0" collapsed="false">
      <c r="A33" s="0" t="n">
        <v>18</v>
      </c>
      <c r="B33" s="22" t="n">
        <f aca="false">IF(Inputs!B22=0,1,1/(1+EXP(-Inputs!B22*(A33-Inputs!B21))))</f>
        <v>0.999999958600624</v>
      </c>
      <c r="C33" s="32" t="n">
        <f aca="false">IF(A33-Inputs!B23&lt;1,0,$B$9*IF(Inputs!B22=0,1,1/(1+EXP(-Inputs!B22*(A33-Inputs!B23-Inputs!B21)))))</f>
        <v>1.99999991720125</v>
      </c>
      <c r="D33" s="32" t="n">
        <f aca="true">D32*(1-$B$5)+IF(A33-Inputs!B17&lt;1,0,OFFSET(C33,-Inputs!B17,0)*(1-$B$5)^Inputs!B17)</f>
        <v>38.0716730994632</v>
      </c>
      <c r="E33" s="15" t="n">
        <f aca="false">IF(D33&gt;0,F33/D33,0)</f>
        <v>149</v>
      </c>
      <c r="F33" s="15" t="n">
        <f aca="true">F32*(1-$B$5)*(1+$B$6)+IF(A33-Inputs!B17&lt;1,0,OFFSET(C33,-Inputs!B17,0)*(1-$B$5)^Inputs!B17)*$B$3</f>
        <v>5672.67929182001</v>
      </c>
      <c r="G33" s="15" t="n">
        <f aca="false">F33*$B$4</f>
        <v>5213.19226918259</v>
      </c>
      <c r="H33" s="15" t="n">
        <f aca="false">$B$9*B33*$B$7</f>
        <v>199.999991720125</v>
      </c>
      <c r="I33" s="15" t="n">
        <f aca="false">$B$8</f>
        <v>6000</v>
      </c>
      <c r="J33" s="15" t="n">
        <f aca="false">G33-H33-I33</f>
        <v>-986.807722537533</v>
      </c>
      <c r="K33" s="15" t="n">
        <f aca="false">K32+J33</f>
        <v>-58992.7134764097</v>
      </c>
      <c r="L33" s="15" t="n">
        <f aca="false">MIN(J33:J51)</f>
        <v>-986.807722537533</v>
      </c>
    </row>
    <row r="34" customFormat="false" ht="15" hidden="false" customHeight="false" outlineLevel="0" collapsed="false">
      <c r="A34" s="0" t="n">
        <v>19</v>
      </c>
      <c r="B34" s="22" t="n">
        <f aca="false">IF(Inputs!B22=0,1,1/(1+EXP(-Inputs!B22*(A34-Inputs!B21))))</f>
        <v>0.999999984770021</v>
      </c>
      <c r="C34" s="32" t="n">
        <f aca="false">IF(A34-Inputs!B23&lt;1,0,$B$9*IF(Inputs!B22=0,1,1/(1+EXP(-Inputs!B22*(A34-Inputs!B23-Inputs!B21)))))</f>
        <v>1.99999996954004</v>
      </c>
      <c r="D34" s="32" t="n">
        <f aca="true">D33*(1-$B$5)+IF(A34-Inputs!B17&lt;1,0,OFFSET(C34,-Inputs!B17,0)*(1-$B$5)^Inputs!B17)</f>
        <v>40.0716730166644</v>
      </c>
      <c r="E34" s="15" t="n">
        <f aca="false">IF(D34&gt;0,F34/D34,0)</f>
        <v>149</v>
      </c>
      <c r="F34" s="15" t="n">
        <f aca="true">F33*(1-$B$5)*(1+$B$6)+IF(A34-Inputs!B17&lt;1,0,OFFSET(C34,-Inputs!B17,0)*(1-$B$5)^Inputs!B17)*$B$3</f>
        <v>5970.679279483</v>
      </c>
      <c r="G34" s="15" t="n">
        <f aca="false">F34*$B$4</f>
        <v>5487.05425784488</v>
      </c>
      <c r="H34" s="15" t="n">
        <f aca="false">$B$9*B34*$B$7</f>
        <v>199.999996954004</v>
      </c>
      <c r="I34" s="15" t="n">
        <f aca="false">$B$8</f>
        <v>6000</v>
      </c>
      <c r="J34" s="15" t="n">
        <f aca="false">G34-H34-I34</f>
        <v>-712.945739109127</v>
      </c>
      <c r="K34" s="15" t="n">
        <f aca="false">K33+J34</f>
        <v>-59705.6592155188</v>
      </c>
      <c r="L34" s="15" t="n">
        <f aca="false">MIN(J34:J51)</f>
        <v>-712.945739109127</v>
      </c>
    </row>
    <row r="35" customFormat="false" ht="15" hidden="false" customHeight="false" outlineLevel="0" collapsed="false">
      <c r="A35" s="0" t="n">
        <v>20</v>
      </c>
      <c r="B35" s="22" t="n">
        <f aca="false">IF(Inputs!B22=0,1,1/(1+EXP(-Inputs!B22*(A35-Inputs!B21))))</f>
        <v>0.999999994397204</v>
      </c>
      <c r="C35" s="32" t="n">
        <f aca="false">IF(A35-Inputs!B23&lt;1,0,$B$9*IF(Inputs!B22=0,1,1/(1+EXP(-Inputs!B22*(A35-Inputs!B23-Inputs!B21)))))</f>
        <v>1.99999998879441</v>
      </c>
      <c r="D35" s="32" t="n">
        <f aca="true">D34*(1-$B$5)+IF(A35-Inputs!B17&lt;1,0,OFFSET(C35,-Inputs!B17,0)*(1-$B$5)^Inputs!B17)</f>
        <v>42.0716729862045</v>
      </c>
      <c r="E35" s="15" t="n">
        <f aca="false">IF(D35&gt;0,F35/D35,0)</f>
        <v>149</v>
      </c>
      <c r="F35" s="15" t="n">
        <f aca="true">F34*(1-$B$5)*(1+$B$6)+IF(A35-Inputs!B17&lt;1,0,OFFSET(C35,-Inputs!B17,0)*(1-$B$5)^Inputs!B17)*$B$3</f>
        <v>6268.67927494447</v>
      </c>
      <c r="G35" s="15" t="n">
        <f aca="false">F35*$B$4</f>
        <v>5760.91625367396</v>
      </c>
      <c r="H35" s="15" t="n">
        <f aca="false">$B$9*B35*$B$7</f>
        <v>199.999998879441</v>
      </c>
      <c r="I35" s="15" t="n">
        <f aca="false">$B$8</f>
        <v>6000</v>
      </c>
      <c r="J35" s="15" t="n">
        <f aca="false">G35-H35-I35</f>
        <v>-439.083745205478</v>
      </c>
      <c r="K35" s="15" t="n">
        <f aca="false">K34+J35</f>
        <v>-60144.7429607243</v>
      </c>
      <c r="L35" s="15" t="n">
        <f aca="false">MIN(J35:J51)</f>
        <v>-439.083745205478</v>
      </c>
    </row>
    <row r="36" customFormat="false" ht="15" hidden="false" customHeight="false" outlineLevel="0" collapsed="false">
      <c r="A36" s="0" t="n">
        <v>21</v>
      </c>
      <c r="B36" s="22" t="n">
        <f aca="false">IF(Inputs!B22=0,1,1/(1+EXP(-Inputs!B22*(A36-Inputs!B21))))</f>
        <v>0.999999997938846</v>
      </c>
      <c r="C36" s="32" t="n">
        <f aca="false">IF(A36-Inputs!B23&lt;1,0,$B$9*IF(Inputs!B22=0,1,1/(1+EXP(-Inputs!B22*(A36-Inputs!B23-Inputs!B21)))))</f>
        <v>1.99999999587769</v>
      </c>
      <c r="D36" s="32" t="n">
        <f aca="true">D35*(1-$B$5)+IF(A36-Inputs!B17&lt;1,0,OFFSET(C36,-Inputs!B17,0)*(1-$B$5)^Inputs!B17)</f>
        <v>44.0716729749989</v>
      </c>
      <c r="E36" s="15" t="n">
        <f aca="false">IF(D36&gt;0,F36/D36,0)</f>
        <v>149</v>
      </c>
      <c r="F36" s="15" t="n">
        <f aca="true">F35*(1-$B$5)*(1+$B$6)+IF(A36-Inputs!B17&lt;1,0,OFFSET(C36,-Inputs!B17,0)*(1-$B$5)^Inputs!B17)*$B$3</f>
        <v>6566.67927327483</v>
      </c>
      <c r="G36" s="15" t="n">
        <f aca="false">F36*$B$4</f>
        <v>6034.77825213957</v>
      </c>
      <c r="H36" s="15" t="n">
        <f aca="false">$B$9*B36*$B$7</f>
        <v>199.999999587769</v>
      </c>
      <c r="I36" s="15" t="n">
        <f aca="false">$B$8</f>
        <v>6000</v>
      </c>
      <c r="J36" s="15" t="n">
        <f aca="false">G36-H36-I36</f>
        <v>-165.221747448199</v>
      </c>
      <c r="K36" s="15" t="n">
        <f aca="false">K35+J36</f>
        <v>-60309.9647081725</v>
      </c>
      <c r="L36" s="15" t="n">
        <f aca="false">MIN(J36:J51)</f>
        <v>-165.221747448199</v>
      </c>
    </row>
    <row r="37" customFormat="false" ht="15" hidden="false" customHeight="false" outlineLevel="0" collapsed="false">
      <c r="A37" s="0" t="n">
        <v>22</v>
      </c>
      <c r="B37" s="22" t="n">
        <f aca="false">IF(Inputs!B22=0,1,1/(1+EXP(-Inputs!B22*(A37-Inputs!B21))))</f>
        <v>0.999999999241744</v>
      </c>
      <c r="C37" s="32" t="n">
        <f aca="false">IF(A37-Inputs!B23&lt;1,0,$B$9*IF(Inputs!B22=0,1,1/(1+EXP(-Inputs!B22*(A37-Inputs!B23-Inputs!B21)))))</f>
        <v>1.99999999848349</v>
      </c>
      <c r="D37" s="32" t="n">
        <f aca="true">D36*(1-$B$5)+IF(A37-Inputs!B17&lt;1,0,OFFSET(C37,-Inputs!B17,0)*(1-$B$5)^Inputs!B17)</f>
        <v>46.0716729708766</v>
      </c>
      <c r="E37" s="15" t="n">
        <f aca="false">IF(D37&gt;0,F37/D37,0)</f>
        <v>149</v>
      </c>
      <c r="F37" s="15" t="n">
        <f aca="true">F36*(1-$B$5)*(1+$B$6)+IF(A37-Inputs!B17&lt;1,0,OFFSET(C37,-Inputs!B17,0)*(1-$B$5)^Inputs!B17)*$B$3</f>
        <v>6864.67927266061</v>
      </c>
      <c r="G37" s="15" t="n">
        <f aca="false">F37*$B$4</f>
        <v>6308.6402515751</v>
      </c>
      <c r="H37" s="15" t="n">
        <f aca="false">$B$9*B37*$B$7</f>
        <v>199.999999848349</v>
      </c>
      <c r="I37" s="15" t="n">
        <f aca="false">$B$8</f>
        <v>6000</v>
      </c>
      <c r="J37" s="15" t="n">
        <f aca="false">G37-H37-I37</f>
        <v>108.64025172675</v>
      </c>
      <c r="K37" s="15" t="n">
        <f aca="false">K36+J37</f>
        <v>-60201.3244564458</v>
      </c>
      <c r="L37" s="15" t="n">
        <f aca="false">MIN(J37:J51)</f>
        <v>108.64025172675</v>
      </c>
    </row>
    <row r="38" customFormat="false" ht="15" hidden="false" customHeight="false" outlineLevel="0" collapsed="false">
      <c r="A38" s="0" t="n">
        <v>23</v>
      </c>
      <c r="B38" s="22" t="n">
        <f aca="false">IF(Inputs!B22=0,1,1/(1+EXP(-Inputs!B22*(A38-Inputs!B21))))</f>
        <v>0.999999999721053</v>
      </c>
      <c r="C38" s="32" t="n">
        <f aca="false">IF(A38-Inputs!B23&lt;1,0,$B$9*IF(Inputs!B22=0,1,1/(1+EXP(-Inputs!B22*(A38-Inputs!B23-Inputs!B21)))))</f>
        <v>1.99999999944211</v>
      </c>
      <c r="D38" s="32" t="n">
        <f aca="true">D37*(1-$B$5)+IF(A38-Inputs!B17&lt;1,0,OFFSET(C38,-Inputs!B17,0)*(1-$B$5)^Inputs!B17)</f>
        <v>48.0716729693601</v>
      </c>
      <c r="E38" s="15" t="n">
        <f aca="false">IF(D38&gt;0,F38/D38,0)</f>
        <v>149</v>
      </c>
      <c r="F38" s="15" t="n">
        <f aca="true">F37*(1-$B$5)*(1+$B$6)+IF(A38-Inputs!B17&lt;1,0,OFFSET(C38,-Inputs!B17,0)*(1-$B$5)^Inputs!B17)*$B$3</f>
        <v>7162.67927243465</v>
      </c>
      <c r="G38" s="15" t="n">
        <f aca="false">F38*$B$4</f>
        <v>6582.50225136744</v>
      </c>
      <c r="H38" s="15" t="n">
        <f aca="false">$B$9*B38*$B$7</f>
        <v>199.999999944211</v>
      </c>
      <c r="I38" s="15" t="n">
        <f aca="false">$B$8</f>
        <v>6000</v>
      </c>
      <c r="J38" s="15" t="n">
        <f aca="false">G38-H38-I38</f>
        <v>382.502251423231</v>
      </c>
      <c r="K38" s="15" t="n">
        <f aca="false">K37+J38</f>
        <v>-59818.8222050225</v>
      </c>
      <c r="L38" s="15" t="n">
        <f aca="false">MIN(J38:J51)</f>
        <v>382.502251423231</v>
      </c>
    </row>
    <row r="39" customFormat="false" ht="15" hidden="false" customHeight="false" outlineLevel="0" collapsed="false">
      <c r="A39" s="0" t="n">
        <v>24</v>
      </c>
      <c r="B39" s="22" t="n">
        <f aca="false">IF(Inputs!B22=0,1,1/(1+EXP(-Inputs!B22*(A39-Inputs!B21))))</f>
        <v>0.999999999897381</v>
      </c>
      <c r="C39" s="32" t="n">
        <f aca="false">IF(A39-Inputs!B23&lt;1,0,$B$9*IF(Inputs!B22=0,1,1/(1+EXP(-Inputs!B22*(A39-Inputs!B23-Inputs!B21)))))</f>
        <v>1.99999999979476</v>
      </c>
      <c r="D39" s="32" t="n">
        <f aca="true">D38*(1-$B$5)+IF(A39-Inputs!B17&lt;1,0,OFFSET(C39,-Inputs!B17,0)*(1-$B$5)^Inputs!B17)</f>
        <v>50.0716729688022</v>
      </c>
      <c r="E39" s="15" t="n">
        <f aca="false">IF(D39&gt;0,F39/D39,0)</f>
        <v>149</v>
      </c>
      <c r="F39" s="15" t="n">
        <f aca="true">F38*(1-$B$5)*(1+$B$6)+IF(A39-Inputs!B17&lt;1,0,OFFSET(C39,-Inputs!B17,0)*(1-$B$5)^Inputs!B17)*$B$3</f>
        <v>7460.67927235152</v>
      </c>
      <c r="G39" s="15" t="n">
        <f aca="false">F39*$B$4</f>
        <v>6856.36425129105</v>
      </c>
      <c r="H39" s="15" t="n">
        <f aca="false">$B$9*B39*$B$7</f>
        <v>199.999999979476</v>
      </c>
      <c r="I39" s="15" t="n">
        <f aca="false">$B$8</f>
        <v>6000</v>
      </c>
      <c r="J39" s="15" t="n">
        <f aca="false">G39-H39-I39</f>
        <v>656.364251311573</v>
      </c>
      <c r="K39" s="15" t="n">
        <f aca="false">K38+J39</f>
        <v>-59162.457953711</v>
      </c>
      <c r="L39" s="15" t="n">
        <f aca="false">MIN(J39:J51)</f>
        <v>656.364251311573</v>
      </c>
    </row>
    <row r="40" customFormat="false" ht="15" hidden="false" customHeight="false" outlineLevel="0" collapsed="false">
      <c r="A40" s="0" t="n">
        <v>25</v>
      </c>
      <c r="B40" s="22" t="n">
        <f aca="false">IF(Inputs!B22=0,1,1/(1+EXP(-Inputs!B22*(A40-Inputs!B21))))</f>
        <v>0.999999999962249</v>
      </c>
      <c r="C40" s="32" t="n">
        <f aca="false">IF(A40-Inputs!B23&lt;1,0,$B$9*IF(Inputs!B22=0,1,1/(1+EXP(-Inputs!B22*(A40-Inputs!B23-Inputs!B21)))))</f>
        <v>1.9999999999245</v>
      </c>
      <c r="D40" s="32" t="n">
        <f aca="true">D39*(1-$B$5)+IF(A40-Inputs!B17&lt;1,0,OFFSET(C40,-Inputs!B17,0)*(1-$B$5)^Inputs!B17)</f>
        <v>52.0716729685969</v>
      </c>
      <c r="E40" s="15" t="n">
        <f aca="false">IF(D40&gt;0,F40/D40,0)</f>
        <v>149</v>
      </c>
      <c r="F40" s="15" t="n">
        <f aca="true">F39*(1-$B$5)*(1+$B$6)+IF(A40-Inputs!B17&lt;1,0,OFFSET(C40,-Inputs!B17,0)*(1-$B$5)^Inputs!B17)*$B$3</f>
        <v>7758.67927232094</v>
      </c>
      <c r="G40" s="15" t="n">
        <f aca="false">F40*$B$4</f>
        <v>7130.22625126295</v>
      </c>
      <c r="H40" s="15" t="n">
        <f aca="false">$B$9*B40*$B$7</f>
        <v>199.99999999245</v>
      </c>
      <c r="I40" s="15" t="n">
        <f aca="false">$B$8</f>
        <v>6000</v>
      </c>
      <c r="J40" s="15" t="n">
        <f aca="false">G40-H40-I40</f>
        <v>930.226251270497</v>
      </c>
      <c r="K40" s="15" t="n">
        <f aca="false">K39+J40</f>
        <v>-58232.2317024405</v>
      </c>
      <c r="L40" s="15" t="n">
        <f aca="false">MIN(J40:J51)</f>
        <v>930.226251270497</v>
      </c>
    </row>
    <row r="41" customFormat="false" ht="15" hidden="false" customHeight="false" outlineLevel="0" collapsed="false">
      <c r="A41" s="0" t="n">
        <v>26</v>
      </c>
      <c r="B41" s="22" t="n">
        <f aca="false">IF(Inputs!B22=0,1,1/(1+EXP(-Inputs!B22*(A41-Inputs!B21))))</f>
        <v>0.999999999986112</v>
      </c>
      <c r="C41" s="32" t="n">
        <f aca="false">IF(A41-Inputs!B23&lt;1,0,$B$9*IF(Inputs!B22=0,1,1/(1+EXP(-Inputs!B22*(A41-Inputs!B23-Inputs!B21)))))</f>
        <v>1.99999999997222</v>
      </c>
      <c r="D41" s="32" t="n">
        <f aca="true">D40*(1-$B$5)+IF(A41-Inputs!B17&lt;1,0,OFFSET(C41,-Inputs!B17,0)*(1-$B$5)^Inputs!B17)</f>
        <v>54.0716729685214</v>
      </c>
      <c r="E41" s="15" t="n">
        <f aca="false">IF(D41&gt;0,F41/D41,0)</f>
        <v>149</v>
      </c>
      <c r="F41" s="15" t="n">
        <f aca="true">F40*(1-$B$5)*(1+$B$6)+IF(A41-Inputs!B17&lt;1,0,OFFSET(C41,-Inputs!B17,0)*(1-$B$5)^Inputs!B17)*$B$3</f>
        <v>8056.67927230969</v>
      </c>
      <c r="G41" s="15" t="n">
        <f aca="false">F41*$B$4</f>
        <v>7404.08825125261</v>
      </c>
      <c r="H41" s="15" t="n">
        <f aca="false">$B$9*B41*$B$7</f>
        <v>199.999999997222</v>
      </c>
      <c r="I41" s="15" t="n">
        <f aca="false">$B$8</f>
        <v>6000</v>
      </c>
      <c r="J41" s="15" t="n">
        <f aca="false">G41-H41-I41</f>
        <v>1204.08825125539</v>
      </c>
      <c r="K41" s="15" t="n">
        <f aca="false">K40+J41</f>
        <v>-57028.1434511851</v>
      </c>
      <c r="L41" s="15" t="n">
        <f aca="false">MIN(J41:J51)</f>
        <v>1204.08825125539</v>
      </c>
    </row>
    <row r="42" customFormat="false" ht="15" hidden="false" customHeight="false" outlineLevel="0" collapsed="false">
      <c r="A42" s="0" t="n">
        <v>27</v>
      </c>
      <c r="B42" s="22" t="n">
        <f aca="false">IF(Inputs!B22=0,1,1/(1+EXP(-Inputs!B22*(A42-Inputs!B21))))</f>
        <v>0.999999999994891</v>
      </c>
      <c r="C42" s="32" t="n">
        <f aca="false">IF(A42-Inputs!B23&lt;1,0,$B$9*IF(Inputs!B22=0,1,1/(1+EXP(-Inputs!B22*(A42-Inputs!B23-Inputs!B21)))))</f>
        <v>1.99999999998978</v>
      </c>
      <c r="D42" s="32" t="n">
        <f aca="true">D41*(1-$B$5)+IF(A42-Inputs!B17&lt;1,0,OFFSET(C42,-Inputs!B17,0)*(1-$B$5)^Inputs!B17)</f>
        <v>56.0716729684937</v>
      </c>
      <c r="E42" s="15" t="n">
        <f aca="false">IF(D42&gt;0,F42/D42,0)</f>
        <v>149</v>
      </c>
      <c r="F42" s="15" t="n">
        <f aca="true">F41*(1-$B$5)*(1+$B$6)+IF(A42-Inputs!B17&lt;1,0,OFFSET(C42,-Inputs!B17,0)*(1-$B$5)^Inputs!B17)*$B$3</f>
        <v>8354.67927230555</v>
      </c>
      <c r="G42" s="15" t="n">
        <f aca="false">F42*$B$4</f>
        <v>7677.9502512488</v>
      </c>
      <c r="H42" s="15" t="n">
        <f aca="false">$B$9*B42*$B$7</f>
        <v>199.999999998978</v>
      </c>
      <c r="I42" s="15" t="n">
        <f aca="false">$B$8</f>
        <v>6000</v>
      </c>
      <c r="J42" s="15" t="n">
        <f aca="false">G42-H42-I42</f>
        <v>1477.95025124983</v>
      </c>
      <c r="K42" s="15" t="n">
        <f aca="false">K41+J42</f>
        <v>-55550.1931999353</v>
      </c>
      <c r="L42" s="15" t="n">
        <f aca="false">MIN(J42:J51)</f>
        <v>1477.95025124983</v>
      </c>
    </row>
    <row r="43" customFormat="false" ht="15" hidden="false" customHeight="false" outlineLevel="0" collapsed="false">
      <c r="A43" s="0" t="n">
        <v>28</v>
      </c>
      <c r="B43" s="22" t="n">
        <f aca="false">IF(Inputs!B22=0,1,1/(1+EXP(-Inputs!B22*(A43-Inputs!B21))))</f>
        <v>0.99999999999812</v>
      </c>
      <c r="C43" s="32" t="n">
        <f aca="false">IF(A43-Inputs!B23&lt;1,0,$B$9*IF(Inputs!B22=0,1,1/(1+EXP(-Inputs!B22*(A43-Inputs!B23-Inputs!B21)))))</f>
        <v>1.99999999999624</v>
      </c>
      <c r="D43" s="32" t="n">
        <f aca="true">D42*(1-$B$5)+IF(A43-Inputs!B17&lt;1,0,OFFSET(C43,-Inputs!B17,0)*(1-$B$5)^Inputs!B17)</f>
        <v>58.0716729684834</v>
      </c>
      <c r="E43" s="15" t="n">
        <f aca="false">IF(D43&gt;0,F43/D43,0)</f>
        <v>149</v>
      </c>
      <c r="F43" s="15" t="n">
        <f aca="true">F42*(1-$B$5)*(1+$B$6)+IF(A43-Inputs!B17&lt;1,0,OFFSET(C43,-Inputs!B17,0)*(1-$B$5)^Inputs!B17)*$B$3</f>
        <v>8652.67927230403</v>
      </c>
      <c r="G43" s="15" t="n">
        <f aca="false">F43*$B$4</f>
        <v>7951.81225124741</v>
      </c>
      <c r="H43" s="15" t="n">
        <f aca="false">$B$9*B43*$B$7</f>
        <v>199.999999999624</v>
      </c>
      <c r="I43" s="15" t="n">
        <f aca="false">$B$8</f>
        <v>6000</v>
      </c>
      <c r="J43" s="15" t="n">
        <f aca="false">G43-H43-I43</f>
        <v>1751.81225124778</v>
      </c>
      <c r="K43" s="15" t="n">
        <f aca="false">K42+J43</f>
        <v>-53798.3809486875</v>
      </c>
      <c r="L43" s="15" t="n">
        <f aca="false">MIN(J43:J51)</f>
        <v>1751.81225124778</v>
      </c>
    </row>
    <row r="44" customFormat="false" ht="15" hidden="false" customHeight="false" outlineLevel="0" collapsed="false">
      <c r="A44" s="0" t="n">
        <v>29</v>
      </c>
      <c r="B44" s="22" t="n">
        <f aca="false">IF(Inputs!B22=0,1,1/(1+EXP(-Inputs!B22*(A44-Inputs!B21))))</f>
        <v>0.999999999999309</v>
      </c>
      <c r="C44" s="32" t="n">
        <f aca="false">IF(A44-Inputs!B23&lt;1,0,$B$9*IF(Inputs!B22=0,1,1/(1+EXP(-Inputs!B22*(A44-Inputs!B23-Inputs!B21)))))</f>
        <v>1.99999999999862</v>
      </c>
      <c r="D44" s="32" t="n">
        <f aca="true">D43*(1-$B$5)+IF(A44-Inputs!B17&lt;1,0,OFFSET(C44,-Inputs!B17,0)*(1-$B$5)^Inputs!B17)</f>
        <v>60.0716729684797</v>
      </c>
      <c r="E44" s="15" t="n">
        <f aca="false">IF(D44&gt;0,F44/D44,0)</f>
        <v>149</v>
      </c>
      <c r="F44" s="15" t="n">
        <f aca="true">F43*(1-$B$5)*(1+$B$6)+IF(A44-Inputs!B17&lt;1,0,OFFSET(C44,-Inputs!B17,0)*(1-$B$5)^Inputs!B17)*$B$3</f>
        <v>8950.67927230347</v>
      </c>
      <c r="G44" s="15" t="n">
        <f aca="false">F44*$B$4</f>
        <v>8225.67425124689</v>
      </c>
      <c r="H44" s="15" t="n">
        <f aca="false">$B$9*B44*$B$7</f>
        <v>199.999999999862</v>
      </c>
      <c r="I44" s="15" t="n">
        <f aca="false">$B$8</f>
        <v>6000</v>
      </c>
      <c r="J44" s="15" t="n">
        <f aca="false">G44-H44-I44</f>
        <v>2025.67425124703</v>
      </c>
      <c r="K44" s="15" t="n">
        <f aca="false">K43+J44</f>
        <v>-51772.7066974404</v>
      </c>
      <c r="L44" s="15" t="n">
        <f aca="false">MIN(J44:J51)</f>
        <v>2025.67425124703</v>
      </c>
    </row>
    <row r="45" customFormat="false" ht="15" hidden="false" customHeight="false" outlineLevel="0" collapsed="false">
      <c r="A45" s="0" t="n">
        <v>30</v>
      </c>
      <c r="B45" s="22" t="n">
        <f aca="false">IF(Inputs!B22=0,1,1/(1+EXP(-Inputs!B22*(A45-Inputs!B21))))</f>
        <v>0.999999999999746</v>
      </c>
      <c r="C45" s="32" t="n">
        <f aca="false">IF(A45-Inputs!B23&lt;1,0,$B$9*IF(Inputs!B22=0,1,1/(1+EXP(-Inputs!B22*(A45-Inputs!B23-Inputs!B21)))))</f>
        <v>1.99999999999949</v>
      </c>
      <c r="D45" s="32" t="n">
        <f aca="true">D44*(1-$B$5)+IF(A45-Inputs!B17&lt;1,0,OFFSET(C45,-Inputs!B17,0)*(1-$B$5)^Inputs!B17)</f>
        <v>62.0716729684783</v>
      </c>
      <c r="E45" s="15" t="n">
        <f aca="false">IF(D45&gt;0,F45/D45,0)</f>
        <v>149</v>
      </c>
      <c r="F45" s="15" t="n">
        <f aca="true">F44*(1-$B$5)*(1+$B$6)+IF(A45-Inputs!B17&lt;1,0,OFFSET(C45,-Inputs!B17,0)*(1-$B$5)^Inputs!B17)*$B$3</f>
        <v>9248.67927230327</v>
      </c>
      <c r="G45" s="15" t="n">
        <f aca="false">F45*$B$4</f>
        <v>8499.5362512467</v>
      </c>
      <c r="H45" s="15" t="n">
        <f aca="false">$B$9*B45*$B$7</f>
        <v>199.999999999949</v>
      </c>
      <c r="I45" s="15" t="n">
        <f aca="false">$B$8</f>
        <v>6000</v>
      </c>
      <c r="J45" s="15" t="n">
        <f aca="false">G45-H45-I45</f>
        <v>2299.53625124675</v>
      </c>
      <c r="K45" s="15" t="n">
        <f aca="false">K44+J45</f>
        <v>-49473.1704461937</v>
      </c>
      <c r="L45" s="15" t="n">
        <f aca="false">MIN(J45:J51)</f>
        <v>2299.53625124675</v>
      </c>
    </row>
    <row r="46" customFormat="false" ht="15" hidden="false" customHeight="false" outlineLevel="0" collapsed="false">
      <c r="A46" s="0" t="n">
        <v>31</v>
      </c>
      <c r="B46" s="22" t="n">
        <f aca="false">IF(Inputs!B22=0,1,1/(1+EXP(-Inputs!B22*(A46-Inputs!B21))))</f>
        <v>0.999999999999907</v>
      </c>
      <c r="C46" s="32" t="n">
        <f aca="false">IF(A46-Inputs!B23&lt;1,0,$B$9*IF(Inputs!B22=0,1,1/(1+EXP(-Inputs!B22*(A46-Inputs!B23-Inputs!B21)))))</f>
        <v>1.99999999999981</v>
      </c>
      <c r="D46" s="32" t="n">
        <f aca="true">D45*(1-$B$5)+IF(A46-Inputs!B17&lt;1,0,OFFSET(C46,-Inputs!B17,0)*(1-$B$5)^Inputs!B17)</f>
        <v>64.0716729684778</v>
      </c>
      <c r="E46" s="15" t="n">
        <f aca="false">IF(D46&gt;0,F46/D46,0)</f>
        <v>149</v>
      </c>
      <c r="F46" s="15" t="n">
        <f aca="true">F45*(1-$B$5)*(1+$B$6)+IF(A46-Inputs!B17&lt;1,0,OFFSET(C46,-Inputs!B17,0)*(1-$B$5)^Inputs!B17)*$B$3</f>
        <v>9546.67927230319</v>
      </c>
      <c r="G46" s="15" t="n">
        <f aca="false">F46*$B$4</f>
        <v>8773.39825124663</v>
      </c>
      <c r="H46" s="15" t="n">
        <f aca="false">$B$9*B46*$B$7</f>
        <v>199.999999999981</v>
      </c>
      <c r="I46" s="15" t="n">
        <f aca="false">$B$8</f>
        <v>6000</v>
      </c>
      <c r="J46" s="15" t="n">
        <f aca="false">G46-H46-I46</f>
        <v>2573.39825124665</v>
      </c>
      <c r="K46" s="15" t="n">
        <f aca="false">K45+J46</f>
        <v>-46899.772194947</v>
      </c>
      <c r="L46" s="15" t="n">
        <f aca="false">MIN(J46:J51)</f>
        <v>2573.39825124665</v>
      </c>
    </row>
    <row r="47" customFormat="false" ht="15" hidden="false" customHeight="false" outlineLevel="0" collapsed="false">
      <c r="A47" s="0" t="n">
        <v>32</v>
      </c>
      <c r="B47" s="22" t="n">
        <f aca="false">IF(Inputs!B22=0,1,1/(1+EXP(-Inputs!B22*(A47-Inputs!B21))))</f>
        <v>0.999999999999966</v>
      </c>
      <c r="C47" s="32" t="n">
        <f aca="false">IF(A47-Inputs!B23&lt;1,0,$B$9*IF(Inputs!B22=0,1,1/(1+EXP(-Inputs!B22*(A47-Inputs!B23-Inputs!B21)))))</f>
        <v>1.99999999999993</v>
      </c>
      <c r="D47" s="32" t="n">
        <f aca="true">D46*(1-$B$5)+IF(A47-Inputs!B17&lt;1,0,OFFSET(C47,-Inputs!B17,0)*(1-$B$5)^Inputs!B17)</f>
        <v>66.0716729684776</v>
      </c>
      <c r="E47" s="15" t="n">
        <f aca="false">IF(D47&gt;0,F47/D47,0)</f>
        <v>149</v>
      </c>
      <c r="F47" s="15" t="n">
        <f aca="true">F46*(1-$B$5)*(1+$B$6)+IF(A47-Inputs!B17&lt;1,0,OFFSET(C47,-Inputs!B17,0)*(1-$B$5)^Inputs!B17)*$B$3</f>
        <v>9844.67927230316</v>
      </c>
      <c r="G47" s="15" t="n">
        <f aca="false">F47*$B$4</f>
        <v>9047.26025124661</v>
      </c>
      <c r="H47" s="15" t="n">
        <f aca="false">$B$9*B47*$B$7</f>
        <v>199.999999999993</v>
      </c>
      <c r="I47" s="15" t="n">
        <f aca="false">$B$8</f>
        <v>6000</v>
      </c>
      <c r="J47" s="15" t="n">
        <f aca="false">G47-H47-I47</f>
        <v>2847.26025124661</v>
      </c>
      <c r="K47" s="15" t="n">
        <f aca="false">K46+J47</f>
        <v>-44052.5119437004</v>
      </c>
      <c r="L47" s="15" t="n">
        <f aca="false">MIN(J47:J51)</f>
        <v>2847.26025124661</v>
      </c>
    </row>
    <row r="48" customFormat="false" ht="15" hidden="false" customHeight="false" outlineLevel="0" collapsed="false">
      <c r="A48" s="0" t="n">
        <v>33</v>
      </c>
      <c r="B48" s="22" t="n">
        <f aca="false">IF(Inputs!B22=0,1,1/(1+EXP(-Inputs!B22*(A48-Inputs!B21))))</f>
        <v>0.999999999999987</v>
      </c>
      <c r="C48" s="32" t="n">
        <f aca="false">IF(A48-Inputs!B23&lt;1,0,$B$9*IF(Inputs!B22=0,1,1/(1+EXP(-Inputs!B22*(A48-Inputs!B23-Inputs!B21)))))</f>
        <v>1.99999999999997</v>
      </c>
      <c r="D48" s="32" t="n">
        <f aca="true">D47*(1-$B$5)+IF(A48-Inputs!B17&lt;1,0,OFFSET(C48,-Inputs!B17,0)*(1-$B$5)^Inputs!B17)</f>
        <v>68.0716729684775</v>
      </c>
      <c r="E48" s="15" t="n">
        <f aca="false">IF(D48&gt;0,F48/D48,0)</f>
        <v>149</v>
      </c>
      <c r="F48" s="15" t="n">
        <f aca="true">F47*(1-$B$5)*(1+$B$6)+IF(A48-Inputs!B17&lt;1,0,OFFSET(C48,-Inputs!B17,0)*(1-$B$5)^Inputs!B17)*$B$3</f>
        <v>10142.6792723032</v>
      </c>
      <c r="G48" s="15" t="n">
        <f aca="false">F48*$B$4</f>
        <v>9321.1222512466</v>
      </c>
      <c r="H48" s="15" t="n">
        <f aca="false">$B$9*B48*$B$7</f>
        <v>199.999999999997</v>
      </c>
      <c r="I48" s="15" t="n">
        <f aca="false">$B$8</f>
        <v>6000</v>
      </c>
      <c r="J48" s="15" t="n">
        <f aca="false">G48-H48-I48</f>
        <v>3121.1222512466</v>
      </c>
      <c r="K48" s="15" t="n">
        <f aca="false">K47+J48</f>
        <v>-40931.3896924538</v>
      </c>
      <c r="L48" s="15" t="n">
        <f aca="false">MIN(J48:J51)</f>
        <v>3121.1222512466</v>
      </c>
    </row>
    <row r="49" customFormat="false" ht="15" hidden="false" customHeight="false" outlineLevel="0" collapsed="false">
      <c r="A49" s="0" t="n">
        <v>34</v>
      </c>
      <c r="B49" s="22" t="n">
        <f aca="false">IF(Inputs!B22=0,1,1/(1+EXP(-Inputs!B22*(A49-Inputs!B21))))</f>
        <v>0.999999999999995</v>
      </c>
      <c r="C49" s="32" t="n">
        <f aca="false">IF(A49-Inputs!B23&lt;1,0,$B$9*IF(Inputs!B22=0,1,1/(1+EXP(-Inputs!B22*(A49-Inputs!B23-Inputs!B21)))))</f>
        <v>1.99999999999999</v>
      </c>
      <c r="D49" s="32" t="n">
        <f aca="true">D48*(1-$B$5)+IF(A49-Inputs!B17&lt;1,0,OFFSET(C49,-Inputs!B17,0)*(1-$B$5)^Inputs!B17)</f>
        <v>70.0716729684775</v>
      </c>
      <c r="E49" s="15" t="n">
        <f aca="false">IF(D49&gt;0,F49/D49,0)</f>
        <v>149</v>
      </c>
      <c r="F49" s="15" t="n">
        <f aca="true">F48*(1-$B$5)*(1+$B$6)+IF(A49-Inputs!B17&lt;1,0,OFFSET(C49,-Inputs!B17,0)*(1-$B$5)^Inputs!B17)*$B$3</f>
        <v>10440.6792723031</v>
      </c>
      <c r="G49" s="15" t="n">
        <f aca="false">F49*$B$4</f>
        <v>9594.98425124659</v>
      </c>
      <c r="H49" s="15" t="n">
        <f aca="false">$B$9*B49*$B$7</f>
        <v>199.999999999999</v>
      </c>
      <c r="I49" s="15" t="n">
        <f aca="false">$B$8</f>
        <v>6000</v>
      </c>
      <c r="J49" s="15" t="n">
        <f aca="false">G49-H49-I49</f>
        <v>3394.9842512466</v>
      </c>
      <c r="K49" s="15" t="n">
        <f aca="false">K48+J49</f>
        <v>-37536.4054412072</v>
      </c>
      <c r="L49" s="15" t="n">
        <f aca="false">MIN(J49:J51)</f>
        <v>3394.9842512466</v>
      </c>
    </row>
    <row r="50" customFormat="false" ht="15" hidden="false" customHeight="false" outlineLevel="0" collapsed="false">
      <c r="A50" s="0" t="n">
        <v>35</v>
      </c>
      <c r="B50" s="22" t="n">
        <f aca="false">IF(Inputs!B22=0,1,1/(1+EXP(-Inputs!B22*(A50-Inputs!B21))))</f>
        <v>0.999999999999998</v>
      </c>
      <c r="C50" s="32" t="n">
        <f aca="false">IF(A50-Inputs!B23&lt;1,0,$B$9*IF(Inputs!B22=0,1,1/(1+EXP(-Inputs!B22*(A50-Inputs!B23-Inputs!B21)))))</f>
        <v>2</v>
      </c>
      <c r="D50" s="32" t="n">
        <f aca="true">D49*(1-$B$5)+IF(A50-Inputs!B17&lt;1,0,OFFSET(C50,-Inputs!B17,0)*(1-$B$5)^Inputs!B17)</f>
        <v>72.0716729684775</v>
      </c>
      <c r="E50" s="15" t="n">
        <f aca="false">IF(D50&gt;0,F50/D50,0)</f>
        <v>149</v>
      </c>
      <c r="F50" s="15" t="n">
        <f aca="true">F49*(1-$B$5)*(1+$B$6)+IF(A50-Inputs!B17&lt;1,0,OFFSET(C50,-Inputs!B17,0)*(1-$B$5)^Inputs!B17)*$B$3</f>
        <v>10738.6792723031</v>
      </c>
      <c r="G50" s="15" t="n">
        <f aca="false">F50*$B$4</f>
        <v>9868.84625124659</v>
      </c>
      <c r="H50" s="15" t="n">
        <f aca="false">$B$9*B50*$B$7</f>
        <v>200</v>
      </c>
      <c r="I50" s="15" t="n">
        <f aca="false">$B$8</f>
        <v>6000</v>
      </c>
      <c r="J50" s="15" t="n">
        <f aca="false">G50-H50-I50</f>
        <v>3668.84625124659</v>
      </c>
      <c r="K50" s="15" t="n">
        <f aca="false">K49+J50</f>
        <v>-33867.5591899607</v>
      </c>
      <c r="L50" s="15" t="n">
        <f aca="false">MIN(J50:J51)</f>
        <v>3668.84625124659</v>
      </c>
    </row>
    <row r="51" customFormat="false" ht="15" hidden="false" customHeight="false" outlineLevel="0" collapsed="false">
      <c r="A51" s="0" t="n">
        <v>36</v>
      </c>
      <c r="B51" s="22" t="n">
        <f aca="false">IF(Inputs!B22=0,1,1/(1+EXP(-Inputs!B22*(A51-Inputs!B21))))</f>
        <v>0.999999999999999</v>
      </c>
      <c r="C51" s="32" t="n">
        <f aca="false">IF(A51-Inputs!B23&lt;1,0,$B$9*IF(Inputs!B22=0,1,1/(1+EXP(-Inputs!B22*(A51-Inputs!B23-Inputs!B21)))))</f>
        <v>2</v>
      </c>
      <c r="D51" s="32" t="n">
        <f aca="true">D50*(1-$B$5)+IF(A51-Inputs!B17&lt;1,0,OFFSET(C51,-Inputs!B17,0)*(1-$B$5)^Inputs!B17)</f>
        <v>74.0716729684775</v>
      </c>
      <c r="E51" s="15" t="n">
        <f aca="false">IF(D51&gt;0,F51/D51,0)</f>
        <v>149</v>
      </c>
      <c r="F51" s="15" t="n">
        <f aca="true">F50*(1-$B$5)*(1+$B$6)+IF(A51-Inputs!B17&lt;1,0,OFFSET(C51,-Inputs!B17,0)*(1-$B$5)^Inputs!B17)*$B$3</f>
        <v>11036.6792723031</v>
      </c>
      <c r="G51" s="15" t="n">
        <f aca="false">F51*$B$4</f>
        <v>10142.7082512466</v>
      </c>
      <c r="H51" s="15" t="n">
        <f aca="false">$B$9*B51*$B$7</f>
        <v>200</v>
      </c>
      <c r="I51" s="15" t="n">
        <f aca="false">$B$8</f>
        <v>6000</v>
      </c>
      <c r="J51" s="15" t="n">
        <f aca="false">G51-H51-I51</f>
        <v>3942.70825124659</v>
      </c>
      <c r="K51" s="15" t="n">
        <f aca="false">K50+J51</f>
        <v>-29924.8509387141</v>
      </c>
      <c r="L51" s="15" t="n">
        <f aca="false">MIN(J51)</f>
        <v>3942.70825124659</v>
      </c>
    </row>
    <row r="53" customFormat="false" ht="15" hidden="false" customHeight="false" outlineLevel="0" collapsed="false">
      <c r="A53" s="14" t="s">
        <v>114</v>
      </c>
      <c r="B53" s="0" t="n">
        <f aca="false">IFERROR(INDEX(A16:A51,MATCH(TRUE(),INDEX(L16:L51&gt;=0,0),0)),"none")</f>
        <v>22</v>
      </c>
    </row>
    <row r="54" customFormat="false" ht="15" hidden="false" customHeight="false" outlineLevel="0" collapsed="false">
      <c r="A54" s="14" t="s">
        <v>19</v>
      </c>
      <c r="B54" s="15" t="n">
        <f aca="false">MAX(0,Inputs!B16,-MIN(K16:K51))</f>
        <v>60309.9647081725</v>
      </c>
    </row>
    <row r="55" customFormat="false" ht="15" hidden="false" customHeight="false" outlineLevel="0" collapsed="false">
      <c r="A55" s="14" t="s">
        <v>115</v>
      </c>
      <c r="B55" s="16" t="n">
        <f aca="false">Inputs!B24*Inputs!B25</f>
        <v>75.36</v>
      </c>
    </row>
    <row r="56" customFormat="false" ht="15" hidden="false" customHeight="false" outlineLevel="0" collapsed="false">
      <c r="A56" s="14" t="s">
        <v>116</v>
      </c>
      <c r="B56" s="16" t="n">
        <f aca="false">D51</f>
        <v>74.0716729684775</v>
      </c>
    </row>
    <row r="57" customFormat="false" ht="15" hidden="false" customHeight="false" outlineLevel="0" collapsed="false">
      <c r="A57" s="14" t="s">
        <v>25</v>
      </c>
      <c r="B57" s="22" t="n">
        <f aca="false">IF(B55&gt;0,B56/B55,0)</f>
        <v>0.98290436529296</v>
      </c>
    </row>
    <row r="58" customFormat="false" ht="15" hidden="false" customHeight="false" outlineLevel="0" collapsed="false">
      <c r="A58" s="14" t="s">
        <v>117</v>
      </c>
      <c r="B58" s="0" t="str">
        <f aca="false">IF(B57&gt;1,"above_comparables",IF(B57&lt;0.1,"far_below_comparables","within_range"))</f>
        <v>within_range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118</v>
      </c>
    </row>
    <row r="3" customFormat="false" ht="15" hidden="false" customHeight="false" outlineLevel="0" collapsed="false">
      <c r="A3" s="17" t="s">
        <v>97</v>
      </c>
      <c r="B3" s="7" t="n">
        <f aca="false">Inputs!C5</f>
        <v>134</v>
      </c>
    </row>
    <row r="4" customFormat="false" ht="15" hidden="false" customHeight="false" outlineLevel="0" collapsed="false">
      <c r="A4" s="17" t="s">
        <v>17</v>
      </c>
      <c r="B4" s="10" t="n">
        <f aca="false">Inputs!C6</f>
        <v>0.8</v>
      </c>
    </row>
    <row r="5" customFormat="false" ht="15" hidden="false" customHeight="false" outlineLevel="0" collapsed="false">
      <c r="A5" s="17" t="s">
        <v>67</v>
      </c>
      <c r="B5" s="10" t="n">
        <f aca="false">Inputs!C7</f>
        <v>0.05</v>
      </c>
    </row>
    <row r="6" customFormat="false" ht="15" hidden="false" customHeight="false" outlineLevel="0" collapsed="false">
      <c r="A6" s="17" t="s">
        <v>98</v>
      </c>
      <c r="B6" s="10" t="n">
        <f aca="false">Inputs!C8</f>
        <v>0</v>
      </c>
    </row>
    <row r="7" customFormat="false" ht="15" hidden="false" customHeight="false" outlineLevel="0" collapsed="false">
      <c r="A7" s="17" t="s">
        <v>13</v>
      </c>
      <c r="B7" s="7" t="n">
        <f aca="false">Inputs!C11</f>
        <v>100</v>
      </c>
    </row>
    <row r="8" customFormat="false" ht="15" hidden="false" customHeight="false" outlineLevel="0" collapsed="false">
      <c r="A8" s="17" t="s">
        <v>99</v>
      </c>
      <c r="B8" s="7" t="n">
        <f aca="false">Inputs!B14*Inputs!C10+Inputs!B15</f>
        <v>11970</v>
      </c>
    </row>
    <row r="9" customFormat="false" ht="15" hidden="false" customHeight="false" outlineLevel="0" collapsed="false">
      <c r="A9" s="17" t="s">
        <v>100</v>
      </c>
      <c r="B9" s="28" t="n">
        <f aca="false">Inputs!C9</f>
        <v>1.8</v>
      </c>
    </row>
    <row r="10" customFormat="false" ht="15" hidden="false" customHeight="false" outlineLevel="0" collapsed="false">
      <c r="A10" s="17" t="s">
        <v>101</v>
      </c>
      <c r="B10" s="29" t="n">
        <f aca="false">B3*B4*(1-B5)^Inputs!B17*IF(ABS(1-(1-B5)*(1+B6))&lt;0.000001,MAX(0,60-Inputs!B17),(1-((1-B5)*(1+B6))^MAX(0,60-Inputs!B17))/(1-(1-B5)*(1+B6)))</f>
        <v>1938.02635097197</v>
      </c>
    </row>
    <row r="11" customFormat="false" ht="15" hidden="false" customHeight="false" outlineLevel="0" collapsed="false">
      <c r="A11" s="17" t="s">
        <v>15</v>
      </c>
      <c r="B11" s="30" t="n">
        <f aca="false">IF(B7&gt;0,B10/B7,"n/a")</f>
        <v>19.3802635097197</v>
      </c>
    </row>
    <row r="12" customFormat="false" ht="15" hidden="false" customHeight="false" outlineLevel="0" collapsed="false">
      <c r="A12" s="17" t="s">
        <v>102</v>
      </c>
      <c r="B12" s="31" t="n">
        <f aca="false">IF(B3*B4&lt;=0,"none",IF(B7&lt;=0,1+Inputs!B17,IF((1-B5)*(1+B6)&lt;=0,IF(B7&lt;=B3*B4*(1-B5)^Inputs!B17,1+Inputs!B17,"none"),IF(ABS(1-(1-B5)*(1+B6))&lt;0.000001,IF(B7/(B3*B4*(1-B5)^Inputs!B17)&lt;=60-Inputs!B17,ROUNDUP(B7/(B3*B4*(1-B5)^Inputs!B17),0)+Inputs!B17,"none"),IF(1-B7*(1-(1-B5)*(1+B6))/(B3*B4*(1-B5)^Inputs!B17)&lt;=0,"none",IF(ROUNDUP(LN(1-B7*(1-(1-B5)*(1+B6))/(B3*B4*(1-B5)^Inputs!B17))/LN((1-B5)*(1+B6)),0)&lt;=60-Inputs!B17,ROUNDUP(LN(1-B7*(1-(1-B5)*(1+B6))/(B3*B4*(1-B5)^Inputs!B17))/LN((1-B5)*(1+B6)),0)+Inputs!B17,"none"))))))</f>
        <v>2</v>
      </c>
    </row>
    <row r="15" customFormat="false" ht="15" hidden="false" customHeight="false" outlineLevel="0" collapsed="false">
      <c r="A15" s="6" t="s">
        <v>27</v>
      </c>
      <c r="B15" s="6" t="s">
        <v>103</v>
      </c>
      <c r="C15" s="6" t="s">
        <v>104</v>
      </c>
      <c r="D15" s="6" t="s">
        <v>105</v>
      </c>
      <c r="E15" s="6" t="s">
        <v>106</v>
      </c>
      <c r="F15" s="6" t="s">
        <v>107</v>
      </c>
      <c r="G15" s="6" t="s">
        <v>108</v>
      </c>
      <c r="H15" s="6" t="s">
        <v>109</v>
      </c>
      <c r="I15" s="6" t="s">
        <v>110</v>
      </c>
      <c r="J15" s="6" t="s">
        <v>111</v>
      </c>
      <c r="K15" s="6" t="s">
        <v>112</v>
      </c>
      <c r="L15" s="6" t="s">
        <v>113</v>
      </c>
    </row>
    <row r="16" customFormat="false" ht="15" hidden="false" customHeight="false" outlineLevel="0" collapsed="false">
      <c r="A16" s="0" t="n">
        <v>1</v>
      </c>
      <c r="B16" s="22" t="n">
        <f aca="false">IF(Inputs!B22=0,1,1/(1+EXP(-Inputs!B22*(A16-Inputs!B21))))</f>
        <v>0.5</v>
      </c>
      <c r="C16" s="32" t="n">
        <f aca="false">IF(A16-Inputs!B23&lt;1,0,$B$9*IF(Inputs!B22=0,1,1/(1+EXP(-Inputs!B22*(A16-Inputs!B23-Inputs!B21)))))</f>
        <v>0.9</v>
      </c>
      <c r="D16" s="32" t="n">
        <f aca="true">Inputs!B19*(1-$B$5)+IF(A16-Inputs!B17&lt;1,0,OFFSET(C16,-Inputs!B17,0)*(1-$B$5)^Inputs!B17)</f>
        <v>5.7</v>
      </c>
      <c r="E16" s="15" t="n">
        <f aca="false">IF(D16&gt;0,F16/D16,0)</f>
        <v>149</v>
      </c>
      <c r="F16" s="15" t="n">
        <f aca="true">Inputs!B20*(1-$B$5)*(1+$B$6)+IF(A16-Inputs!B17&lt;1,0,OFFSET(C16,-Inputs!B17,0)*(1-$B$5)^Inputs!B17)*$B$3</f>
        <v>849.3</v>
      </c>
      <c r="G16" s="15" t="n">
        <f aca="false">F16*$B$4</f>
        <v>679.44</v>
      </c>
      <c r="H16" s="15" t="n">
        <f aca="false">$B$9*B16*$B$7</f>
        <v>90</v>
      </c>
      <c r="I16" s="15" t="n">
        <f aca="false">$B$8</f>
        <v>11970</v>
      </c>
      <c r="J16" s="15" t="n">
        <f aca="false">G16-H16-I16</f>
        <v>-11380.56</v>
      </c>
      <c r="K16" s="15" t="n">
        <f aca="false">J16-Inputs!B16</f>
        <v>-11380.56</v>
      </c>
      <c r="L16" s="15" t="n">
        <f aca="false">MIN(J16:J51)</f>
        <v>-11380.56</v>
      </c>
    </row>
    <row r="17" customFormat="false" ht="15" hidden="false" customHeight="false" outlineLevel="0" collapsed="false">
      <c r="A17" s="0" t="n">
        <v>2</v>
      </c>
      <c r="B17" s="22" t="n">
        <f aca="false">IF(Inputs!B22=0,1,1/(1+EXP(-Inputs!B22*(A17-Inputs!B21))))</f>
        <v>0.731058578630005</v>
      </c>
      <c r="C17" s="32" t="n">
        <f aca="false">IF(A17-Inputs!B23&lt;1,0,$B$9*IF(Inputs!B22=0,1,1/(1+EXP(-Inputs!B22*(A17-Inputs!B23-Inputs!B21)))))</f>
        <v>1.31590544153401</v>
      </c>
      <c r="D17" s="32" t="n">
        <f aca="true">D16*(1-$B$5)+IF(A17-Inputs!B17&lt;1,0,OFFSET(C17,-Inputs!B17,0)*(1-$B$5)^Inputs!B17)</f>
        <v>6.27</v>
      </c>
      <c r="E17" s="15" t="n">
        <f aca="false">IF(D17&gt;0,F17/D17,0)</f>
        <v>146.954545454545</v>
      </c>
      <c r="F17" s="15" t="n">
        <f aca="true">F16*(1-$B$5)*(1+$B$6)+IF(A17-Inputs!B17&lt;1,0,OFFSET(C17,-Inputs!B17,0)*(1-$B$5)^Inputs!B17)*$B$3</f>
        <v>921.405</v>
      </c>
      <c r="G17" s="15" t="n">
        <f aca="false">F17*$B$4</f>
        <v>737.124</v>
      </c>
      <c r="H17" s="15" t="n">
        <f aca="false">$B$9*B17*$B$7</f>
        <v>131.590544153401</v>
      </c>
      <c r="I17" s="15" t="n">
        <f aca="false">$B$8</f>
        <v>11970</v>
      </c>
      <c r="J17" s="15" t="n">
        <f aca="false">G17-H17-I17</f>
        <v>-11364.4665441534</v>
      </c>
      <c r="K17" s="15" t="n">
        <f aca="false">K16+J17</f>
        <v>-22745.0265441534</v>
      </c>
      <c r="L17" s="15" t="n">
        <f aca="false">MIN(J17:J51)</f>
        <v>-11364.4665441534</v>
      </c>
    </row>
    <row r="18" customFormat="false" ht="15" hidden="false" customHeight="false" outlineLevel="0" collapsed="false">
      <c r="A18" s="0" t="n">
        <v>3</v>
      </c>
      <c r="B18" s="22" t="n">
        <f aca="false">IF(Inputs!B22=0,1,1/(1+EXP(-Inputs!B22*(A18-Inputs!B21))))</f>
        <v>0.880797077977882</v>
      </c>
      <c r="C18" s="32" t="n">
        <f aca="false">IF(A18-Inputs!B23&lt;1,0,$B$9*IF(Inputs!B22=0,1,1/(1+EXP(-Inputs!B22*(A18-Inputs!B23-Inputs!B21)))))</f>
        <v>1.58543474036019</v>
      </c>
      <c r="D18" s="32" t="n">
        <f aca="true">D17*(1-$B$5)+IF(A18-Inputs!B17&lt;1,0,OFFSET(C18,-Inputs!B17,0)*(1-$B$5)^Inputs!B17)</f>
        <v>7.20661016945731</v>
      </c>
      <c r="E18" s="15" t="n">
        <f aca="false">IF(D18&gt;0,F18/D18,0)</f>
        <v>144.707357299141</v>
      </c>
      <c r="F18" s="15" t="n">
        <f aca="true">F17*(1-$B$5)*(1+$B$6)+IF(A18-Inputs!B17&lt;1,0,OFFSET(C18,-Inputs!B17,0)*(1-$B$5)^Inputs!B17)*$B$3</f>
        <v>1042.84951270728</v>
      </c>
      <c r="G18" s="15" t="n">
        <f aca="false">F18*$B$4</f>
        <v>834.279610165823</v>
      </c>
      <c r="H18" s="15" t="n">
        <f aca="false">$B$9*B18*$B$7</f>
        <v>158.543474036019</v>
      </c>
      <c r="I18" s="15" t="n">
        <f aca="false">$B$8</f>
        <v>11970</v>
      </c>
      <c r="J18" s="15" t="n">
        <f aca="false">G18-H18-I18</f>
        <v>-11294.2638638702</v>
      </c>
      <c r="K18" s="15" t="n">
        <f aca="false">K17+J18</f>
        <v>-34039.2904080236</v>
      </c>
      <c r="L18" s="15" t="n">
        <f aca="false">MIN(J18:J51)</f>
        <v>-11294.2638638702</v>
      </c>
    </row>
    <row r="19" customFormat="false" ht="15" hidden="false" customHeight="false" outlineLevel="0" collapsed="false">
      <c r="A19" s="0" t="n">
        <v>4</v>
      </c>
      <c r="B19" s="22" t="n">
        <f aca="false">IF(Inputs!B22=0,1,1/(1+EXP(-Inputs!B22*(A19-Inputs!B21))))</f>
        <v>0.952574126822433</v>
      </c>
      <c r="C19" s="32" t="n">
        <f aca="false">IF(A19-Inputs!B23&lt;1,0,$B$9*IF(Inputs!B22=0,1,1/(1+EXP(-Inputs!B22*(A19-Inputs!B23-Inputs!B21)))))</f>
        <v>1.71463342828038</v>
      </c>
      <c r="D19" s="32" t="n">
        <f aca="true">D18*(1-$B$5)+IF(A19-Inputs!B17&lt;1,0,OFFSET(C19,-Inputs!B17,0)*(1-$B$5)^Inputs!B17)</f>
        <v>8.35244266432662</v>
      </c>
      <c r="E19" s="15" t="n">
        <f aca="false">IF(D19&gt;0,F19/D19,0)</f>
        <v>142.776541838843</v>
      </c>
      <c r="F19" s="15" t="n">
        <f aca="true">F18*(1-$B$5)*(1+$B$6)+IF(A19-Inputs!B17&lt;1,0,OFFSET(C19,-Inputs!B17,0)*(1-$B$5)^Inputs!B17)*$B$3</f>
        <v>1192.53287951977</v>
      </c>
      <c r="G19" s="15" t="n">
        <f aca="false">F19*$B$4</f>
        <v>954.026303615814</v>
      </c>
      <c r="H19" s="15" t="n">
        <f aca="false">$B$9*B19*$B$7</f>
        <v>171.463342828038</v>
      </c>
      <c r="I19" s="15" t="n">
        <f aca="false">$B$8</f>
        <v>11970</v>
      </c>
      <c r="J19" s="15" t="n">
        <f aca="false">G19-H19-I19</f>
        <v>-11187.4370392122</v>
      </c>
      <c r="K19" s="15" t="n">
        <f aca="false">K18+J19</f>
        <v>-45226.7274472358</v>
      </c>
      <c r="L19" s="15" t="n">
        <f aca="false">MIN(J19:J51)</f>
        <v>-11187.4370392122</v>
      </c>
    </row>
    <row r="20" customFormat="false" ht="15" hidden="false" customHeight="false" outlineLevel="0" collapsed="false">
      <c r="A20" s="0" t="n">
        <v>5</v>
      </c>
      <c r="B20" s="22" t="n">
        <f aca="false">IF(Inputs!B22=0,1,1/(1+EXP(-Inputs!B22*(A20-Inputs!B21))))</f>
        <v>0.982013790037909</v>
      </c>
      <c r="C20" s="32" t="n">
        <f aca="false">IF(A20-Inputs!B23&lt;1,0,$B$9*IF(Inputs!B22=0,1,1/(1+EXP(-Inputs!B22*(A20-Inputs!B23-Inputs!B21)))))</f>
        <v>1.76762482206824</v>
      </c>
      <c r="D20" s="32" t="n">
        <f aca="true">D19*(1-$B$5)+IF(A20-Inputs!B17&lt;1,0,OFFSET(C20,-Inputs!B17,0)*(1-$B$5)^Inputs!B17)</f>
        <v>9.56372228797665</v>
      </c>
      <c r="E20" s="15" t="n">
        <f aca="false">IF(D20&gt;0,F20/D20,0)</f>
        <v>141.281713362019</v>
      </c>
      <c r="F20" s="15" t="n">
        <f aca="true">F19*(1-$B$5)*(1+$B$6)+IF(A20-Inputs!B17&lt;1,0,OFFSET(C20,-Inputs!B17,0)*(1-$B$5)^Inputs!B17)*$B$3</f>
        <v>1351.17907096387</v>
      </c>
      <c r="G20" s="15" t="n">
        <f aca="false">F20*$B$4</f>
        <v>1080.9432567711</v>
      </c>
      <c r="H20" s="15" t="n">
        <f aca="false">$B$9*B20*$B$7</f>
        <v>176.762482206824</v>
      </c>
      <c r="I20" s="15" t="n">
        <f aca="false">$B$8</f>
        <v>11970</v>
      </c>
      <c r="J20" s="15" t="n">
        <f aca="false">G20-H20-I20</f>
        <v>-11065.8192254357</v>
      </c>
      <c r="K20" s="15" t="n">
        <f aca="false">K19+J20</f>
        <v>-56292.5466726715</v>
      </c>
      <c r="L20" s="15" t="n">
        <f aca="false">MIN(J20:J51)</f>
        <v>-11065.8192254357</v>
      </c>
    </row>
    <row r="21" customFormat="false" ht="15" hidden="false" customHeight="false" outlineLevel="0" collapsed="false">
      <c r="A21" s="0" t="n">
        <v>6</v>
      </c>
      <c r="B21" s="22" t="n">
        <f aca="false">IF(Inputs!B22=0,1,1/(1+EXP(-Inputs!B22*(A21-Inputs!B21))))</f>
        <v>0.993307149075715</v>
      </c>
      <c r="C21" s="32" t="n">
        <f aca="false">IF(A21-Inputs!B23&lt;1,0,$B$9*IF(Inputs!B22=0,1,1/(1+EXP(-Inputs!B22*(A21-Inputs!B23-Inputs!B21)))))</f>
        <v>1.78795286833629</v>
      </c>
      <c r="D21" s="32" t="n">
        <f aca="true">D20*(1-$B$5)+IF(A21-Inputs!B17&lt;1,0,OFFSET(C21,-Inputs!B17,0)*(1-$B$5)^Inputs!B17)</f>
        <v>10.7647797545426</v>
      </c>
      <c r="E21" s="15" t="n">
        <f aca="false">IF(D21&gt;0,F21/D21,0)</f>
        <v>140.145808057832</v>
      </c>
      <c r="F21" s="15" t="n">
        <f aca="true">F20*(1-$B$5)*(1+$B$6)+IF(A21-Inputs!B17&lt;1,0,OFFSET(C21,-Inputs!B17,0)*(1-$B$5)^Inputs!B17)*$B$3</f>
        <v>1508.63875726496</v>
      </c>
      <c r="G21" s="15" t="n">
        <f aca="false">F21*$B$4</f>
        <v>1206.91100581197</v>
      </c>
      <c r="H21" s="15" t="n">
        <f aca="false">$B$9*B21*$B$7</f>
        <v>178.795286833629</v>
      </c>
      <c r="I21" s="15" t="n">
        <f aca="false">$B$8</f>
        <v>11970</v>
      </c>
      <c r="J21" s="15" t="n">
        <f aca="false">G21-H21-I21</f>
        <v>-10941.8842810217</v>
      </c>
      <c r="K21" s="15" t="n">
        <f aca="false">K20+J21</f>
        <v>-67234.4309536932</v>
      </c>
      <c r="L21" s="15" t="n">
        <f aca="false">MIN(J21:J51)</f>
        <v>-10941.8842810217</v>
      </c>
    </row>
    <row r="22" customFormat="false" ht="15" hidden="false" customHeight="false" outlineLevel="0" collapsed="false">
      <c r="A22" s="0" t="n">
        <v>7</v>
      </c>
      <c r="B22" s="22" t="n">
        <f aca="false">IF(Inputs!B22=0,1,1/(1+EXP(-Inputs!B22*(A22-Inputs!B21))))</f>
        <v>0.997527376843365</v>
      </c>
      <c r="C22" s="32" t="n">
        <f aca="false">IF(A22-Inputs!B23&lt;1,0,$B$9*IF(Inputs!B22=0,1,1/(1+EXP(-Inputs!B22*(A22-Inputs!B23-Inputs!B21)))))</f>
        <v>1.79554927831806</v>
      </c>
      <c r="D22" s="32" t="n">
        <f aca="true">D21*(1-$B$5)+IF(A22-Inputs!B17&lt;1,0,OFFSET(C22,-Inputs!B17,0)*(1-$B$5)^Inputs!B17)</f>
        <v>11.925095991735</v>
      </c>
      <c r="E22" s="15" t="n">
        <f aca="false">IF(D22&gt;0,F22/D22,0)</f>
        <v>139.27042773425</v>
      </c>
      <c r="F22" s="15" t="n">
        <f aca="true">F21*(1-$B$5)*(1+$B$6)+IF(A22-Inputs!B17&lt;1,0,OFFSET(C22,-Inputs!B17,0)*(1-$B$5)^Inputs!B17)*$B$3</f>
        <v>1660.81321954093</v>
      </c>
      <c r="G22" s="15" t="n">
        <f aca="false">F22*$B$4</f>
        <v>1328.65057563274</v>
      </c>
      <c r="H22" s="15" t="n">
        <f aca="false">$B$9*B22*$B$7</f>
        <v>179.554927831806</v>
      </c>
      <c r="I22" s="15" t="n">
        <f aca="false">$B$8</f>
        <v>11970</v>
      </c>
      <c r="J22" s="15" t="n">
        <f aca="false">G22-H22-I22</f>
        <v>-10820.9043521991</v>
      </c>
      <c r="K22" s="15" t="n">
        <f aca="false">K21+J22</f>
        <v>-78055.3353058923</v>
      </c>
      <c r="L22" s="15" t="n">
        <f aca="false">MIN(J22:J51)</f>
        <v>-10820.9043521991</v>
      </c>
    </row>
    <row r="23" customFormat="false" ht="15" hidden="false" customHeight="false" outlineLevel="0" collapsed="false">
      <c r="A23" s="0" t="n">
        <v>8</v>
      </c>
      <c r="B23" s="22" t="n">
        <f aca="false">IF(Inputs!B22=0,1,1/(1+EXP(-Inputs!B22*(A23-Inputs!B21))))</f>
        <v>0.999088948805599</v>
      </c>
      <c r="C23" s="32" t="n">
        <f aca="false">IF(A23-Inputs!B23&lt;1,0,$B$9*IF(Inputs!B22=0,1,1/(1+EXP(-Inputs!B22*(A23-Inputs!B23-Inputs!B21)))))</f>
        <v>1.79836010785008</v>
      </c>
      <c r="D23" s="32" t="n">
        <f aca="true">D22*(1-$B$5)+IF(A23-Inputs!B17&lt;1,0,OFFSET(C23,-Inputs!B17,0)*(1-$B$5)^Inputs!B17)</f>
        <v>13.0346130065504</v>
      </c>
      <c r="E23" s="15" t="n">
        <f aca="false">IF(D23&gt;0,F23/D23,0)</f>
        <v>138.580714347715</v>
      </c>
      <c r="F23" s="15" t="n">
        <f aca="true">F22*(1-$B$5)*(1+$B$6)+IF(A23-Inputs!B17&lt;1,0,OFFSET(C23,-Inputs!B17,0)*(1-$B$5)^Inputs!B17)*$B$3</f>
        <v>1806.34598169377</v>
      </c>
      <c r="G23" s="15" t="n">
        <f aca="false">F23*$B$4</f>
        <v>1445.07678535501</v>
      </c>
      <c r="H23" s="15" t="n">
        <f aca="false">$B$9*B23*$B$7</f>
        <v>179.836010785008</v>
      </c>
      <c r="I23" s="15" t="n">
        <f aca="false">$B$8</f>
        <v>11970</v>
      </c>
      <c r="J23" s="15" t="n">
        <f aca="false">G23-H23-I23</f>
        <v>-10704.75922543</v>
      </c>
      <c r="K23" s="15" t="n">
        <f aca="false">K22+J23</f>
        <v>-88760.0945313223</v>
      </c>
      <c r="L23" s="15" t="n">
        <f aca="false">MIN(J23:J51)</f>
        <v>-10704.75922543</v>
      </c>
    </row>
    <row r="24" customFormat="false" ht="15" hidden="false" customHeight="false" outlineLevel="0" collapsed="false">
      <c r="A24" s="0" t="n">
        <v>9</v>
      </c>
      <c r="B24" s="22" t="n">
        <f aca="false">IF(Inputs!B22=0,1,1/(1+EXP(-Inputs!B22*(A24-Inputs!B21))))</f>
        <v>0.999664649869534</v>
      </c>
      <c r="C24" s="32" t="n">
        <f aca="false">IF(A24-Inputs!B23&lt;1,0,$B$9*IF(Inputs!B22=0,1,1/(1+EXP(-Inputs!B22*(A24-Inputs!B23-Inputs!B21)))))</f>
        <v>1.79939636976516</v>
      </c>
      <c r="D24" s="32" t="n">
        <f aca="true">D23*(1-$B$5)+IF(A24-Inputs!B17&lt;1,0,OFFSET(C24,-Inputs!B17,0)*(1-$B$5)^Inputs!B17)</f>
        <v>14.0913244586804</v>
      </c>
      <c r="E24" s="15" t="n">
        <f aca="false">IF(D24&gt;0,F24/D24,0)</f>
        <v>138.025345313816</v>
      </c>
      <c r="F24" s="15" t="n">
        <f aca="true">F23*(1-$B$5)*(1+$B$6)+IF(A24-Inputs!B17&lt;1,0,OFFSET(C24,-Inputs!B17,0)*(1-$B$5)^Inputs!B17)*$B$3</f>
        <v>1944.95992433839</v>
      </c>
      <c r="G24" s="15" t="n">
        <f aca="false">F24*$B$4</f>
        <v>1555.96793947072</v>
      </c>
      <c r="H24" s="15" t="n">
        <f aca="false">$B$9*B24*$B$7</f>
        <v>179.939636976516</v>
      </c>
      <c r="I24" s="15" t="n">
        <f aca="false">$B$8</f>
        <v>11970</v>
      </c>
      <c r="J24" s="15" t="n">
        <f aca="false">G24-H24-I24</f>
        <v>-10593.9716975058</v>
      </c>
      <c r="K24" s="15" t="n">
        <f aca="false">K23+J24</f>
        <v>-99354.0662288281</v>
      </c>
      <c r="L24" s="15" t="n">
        <f aca="false">MIN(J24:J51)</f>
        <v>-10593.9716975058</v>
      </c>
    </row>
    <row r="25" customFormat="false" ht="15" hidden="false" customHeight="false" outlineLevel="0" collapsed="false">
      <c r="A25" s="0" t="n">
        <v>10</v>
      </c>
      <c r="B25" s="22" t="n">
        <f aca="false">IF(Inputs!B22=0,1,1/(1+EXP(-Inputs!B22*(A25-Inputs!B21))))</f>
        <v>0.999876605424014</v>
      </c>
      <c r="C25" s="32" t="n">
        <f aca="false">IF(A25-Inputs!B23&lt;1,0,$B$9*IF(Inputs!B22=0,1,1/(1+EXP(-Inputs!B22*(A25-Inputs!B23-Inputs!B21)))))</f>
        <v>1.79977788976322</v>
      </c>
      <c r="D25" s="32" t="n">
        <f aca="true">D24*(1-$B$5)+IF(A25-Inputs!B17&lt;1,0,OFFSET(C25,-Inputs!B17,0)*(1-$B$5)^Inputs!B17)</f>
        <v>15.0961847870233</v>
      </c>
      <c r="E25" s="15" t="n">
        <f aca="false">IF(D25&gt;0,F25/D25,0)</f>
        <v>137.569532652898</v>
      </c>
      <c r="F25" s="15" t="n">
        <f aca="true">F24*(1-$B$5)*(1+$B$6)+IF(A25-Inputs!B17&lt;1,0,OFFSET(C25,-Inputs!B17,0)*(1-$B$5)^Inputs!B17)*$B$3</f>
        <v>2076.77508599258</v>
      </c>
      <c r="G25" s="15" t="n">
        <f aca="false">F25*$B$4</f>
        <v>1661.42006879406</v>
      </c>
      <c r="H25" s="15" t="n">
        <f aca="false">$B$9*B25*$B$7</f>
        <v>179.977788976322</v>
      </c>
      <c r="I25" s="15" t="n">
        <f aca="false">$B$8</f>
        <v>11970</v>
      </c>
      <c r="J25" s="15" t="n">
        <f aca="false">G25-H25-I25</f>
        <v>-10488.5577201823</v>
      </c>
      <c r="K25" s="15" t="n">
        <f aca="false">K24+J25</f>
        <v>-109842.62394901</v>
      </c>
      <c r="L25" s="15" t="n">
        <f aca="false">MIN(J25:J51)</f>
        <v>-10488.5577201823</v>
      </c>
    </row>
    <row r="26" customFormat="false" ht="15" hidden="false" customHeight="false" outlineLevel="0" collapsed="false">
      <c r="A26" s="0" t="n">
        <v>11</v>
      </c>
      <c r="B26" s="22" t="n">
        <f aca="false">IF(Inputs!B22=0,1,1/(1+EXP(-Inputs!B22*(A26-Inputs!B21))))</f>
        <v>0.999954602131298</v>
      </c>
      <c r="C26" s="32" t="n">
        <f aca="false">IF(A26-Inputs!B23&lt;1,0,$B$9*IF(Inputs!B22=0,1,1/(1+EXP(-Inputs!B22*(A26-Inputs!B23-Inputs!B21)))))</f>
        <v>1.79991828383634</v>
      </c>
      <c r="D26" s="32" t="n">
        <f aca="true">D25*(1-$B$5)+IF(A26-Inputs!B17&lt;1,0,OFFSET(C26,-Inputs!B17,0)*(1-$B$5)^Inputs!B17)</f>
        <v>16.0511645429472</v>
      </c>
      <c r="E26" s="15" t="n">
        <f aca="false">IF(D26&gt;0,F26/D26,0)</f>
        <v>137.189301820931</v>
      </c>
      <c r="F26" s="15" t="n">
        <f aca="true">F25*(1-$B$5)*(1+$B$6)+IF(A26-Inputs!B17&lt;1,0,OFFSET(C26,-Inputs!B17,0)*(1-$B$5)^Inputs!B17)*$B$3</f>
        <v>2202.04805705981</v>
      </c>
      <c r="G26" s="15" t="n">
        <f aca="false">F26*$B$4</f>
        <v>1761.63844564785</v>
      </c>
      <c r="H26" s="15" t="n">
        <f aca="false">$B$9*B26*$B$7</f>
        <v>179.991828383634</v>
      </c>
      <c r="I26" s="15" t="n">
        <f aca="false">$B$8</f>
        <v>11970</v>
      </c>
      <c r="J26" s="15" t="n">
        <f aca="false">G26-H26-I26</f>
        <v>-10388.3533827358</v>
      </c>
      <c r="K26" s="15" t="n">
        <f aca="false">K25+J26</f>
        <v>-120230.977331746</v>
      </c>
      <c r="L26" s="15" t="n">
        <f aca="false">MIN(J26:J51)</f>
        <v>-10388.3533827358</v>
      </c>
    </row>
    <row r="27" customFormat="false" ht="15" hidden="false" customHeight="false" outlineLevel="0" collapsed="false">
      <c r="A27" s="0" t="n">
        <v>12</v>
      </c>
      <c r="B27" s="22" t="n">
        <f aca="false">IF(Inputs!B22=0,1,1/(1+EXP(-Inputs!B22*(A27-Inputs!B21))))</f>
        <v>0.999983298578152</v>
      </c>
      <c r="C27" s="32" t="n">
        <f aca="false">IF(A27-Inputs!B23&lt;1,0,$B$9*IF(Inputs!B22=0,1,1/(1+EXP(-Inputs!B22*(A27-Inputs!B23-Inputs!B21)))))</f>
        <v>1.79996993744067</v>
      </c>
      <c r="D27" s="32" t="n">
        <f aca="true">D26*(1-$B$5)+IF(A27-Inputs!B17&lt;1,0,OFFSET(C27,-Inputs!B17,0)*(1-$B$5)^Inputs!B17)</f>
        <v>16.9585286854444</v>
      </c>
      <c r="E27" s="15" t="n">
        <f aca="false">IF(D27&gt;0,F27/D27,0)</f>
        <v>136.867725661329</v>
      </c>
      <c r="F27" s="15" t="n">
        <f aca="true">F26*(1-$B$5)*(1+$B$6)+IF(A27-Inputs!B17&lt;1,0,OFFSET(C27,-Inputs!B17,0)*(1-$B$5)^Inputs!B17)*$B$3</f>
        <v>2321.07525173918</v>
      </c>
      <c r="G27" s="15" t="n">
        <f aca="false">F27*$B$4</f>
        <v>1856.86020139135</v>
      </c>
      <c r="H27" s="15" t="n">
        <f aca="false">$B$9*B27*$B$7</f>
        <v>179.996993744067</v>
      </c>
      <c r="I27" s="15" t="n">
        <f aca="false">$B$8</f>
        <v>11970</v>
      </c>
      <c r="J27" s="15" t="n">
        <f aca="false">G27-H27-I27</f>
        <v>-10293.1367923527</v>
      </c>
      <c r="K27" s="15" t="n">
        <f aca="false">K26+J27</f>
        <v>-130524.114124099</v>
      </c>
      <c r="L27" s="15" t="n">
        <f aca="false">MIN(J27:J51)</f>
        <v>-10293.1367923527</v>
      </c>
    </row>
    <row r="28" customFormat="false" ht="15" hidden="false" customHeight="false" outlineLevel="0" collapsed="false">
      <c r="A28" s="0" t="n">
        <v>13</v>
      </c>
      <c r="B28" s="22" t="n">
        <f aca="false">IF(Inputs!B22=0,1,1/(1+EXP(-Inputs!B22*(A28-Inputs!B21))))</f>
        <v>0.999993855825398</v>
      </c>
      <c r="C28" s="32" t="n">
        <f aca="false">IF(A28-Inputs!B23&lt;1,0,$B$9*IF(Inputs!B22=0,1,1/(1+EXP(-Inputs!B22*(A28-Inputs!B23-Inputs!B21)))))</f>
        <v>1.79998894048572</v>
      </c>
      <c r="D28" s="32" t="n">
        <f aca="true">D27*(1-$B$5)+IF(A28-Inputs!B17&lt;1,0,OFFSET(C28,-Inputs!B17,0)*(1-$B$5)^Inputs!B17)</f>
        <v>17.8205736917408</v>
      </c>
      <c r="E28" s="15" t="n">
        <f aca="false">IF(D28&gt;0,F28/D28,0)</f>
        <v>136.592553320355</v>
      </c>
      <c r="F28" s="15" t="n">
        <f aca="true">F27*(1-$B$5)*(1+$B$6)+IF(A28-Inputs!B17&lt;1,0,OFFSET(C28,-Inputs!B17,0)*(1-$B$5)^Inputs!B17)*$B$3</f>
        <v>2434.15766218842</v>
      </c>
      <c r="G28" s="15" t="n">
        <f aca="false">F28*$B$4</f>
        <v>1947.32612975074</v>
      </c>
      <c r="H28" s="15" t="n">
        <f aca="false">$B$9*B28*$B$7</f>
        <v>179.998894048572</v>
      </c>
      <c r="I28" s="15" t="n">
        <f aca="false">$B$8</f>
        <v>11970</v>
      </c>
      <c r="J28" s="15" t="n">
        <f aca="false">G28-H28-I28</f>
        <v>-10202.6727642978</v>
      </c>
      <c r="K28" s="15" t="n">
        <f aca="false">K27+J28</f>
        <v>-140726.786888397</v>
      </c>
      <c r="L28" s="15" t="n">
        <f aca="false">MIN(J28:J51)</f>
        <v>-10202.6727642978</v>
      </c>
    </row>
    <row r="29" customFormat="false" ht="15" hidden="false" customHeight="false" outlineLevel="0" collapsed="false">
      <c r="A29" s="0" t="n">
        <v>14</v>
      </c>
      <c r="B29" s="22" t="n">
        <f aca="false">IF(Inputs!B22=0,1,1/(1+EXP(-Inputs!B22*(A29-Inputs!B21))))</f>
        <v>0.999997739675702</v>
      </c>
      <c r="C29" s="32" t="n">
        <f aca="false">IF(A29-Inputs!B23&lt;1,0,$B$9*IF(Inputs!B22=0,1,1/(1+EXP(-Inputs!B22*(A29-Inputs!B23-Inputs!B21)))))</f>
        <v>1.79999593141626</v>
      </c>
      <c r="D29" s="32" t="n">
        <f aca="true">D28*(1-$B$5)+IF(A29-Inputs!B17&lt;1,0,OFFSET(C29,-Inputs!B17,0)*(1-$B$5)^Inputs!B17)</f>
        <v>18.6395345006152</v>
      </c>
      <c r="E29" s="15" t="n">
        <f aca="false">IF(D29&gt;0,F29/D29,0)</f>
        <v>136.354712673696</v>
      </c>
      <c r="F29" s="15" t="n">
        <f aca="true">F28*(1-$B$5)*(1+$B$6)+IF(A29-Inputs!B17&lt;1,0,OFFSET(C29,-Inputs!B17,0)*(1-$B$5)^Inputs!B17)*$B$3</f>
        <v>2541.58837120283</v>
      </c>
      <c r="G29" s="15" t="n">
        <f aca="false">F29*$B$4</f>
        <v>2033.27069696227</v>
      </c>
      <c r="H29" s="15" t="n">
        <f aca="false">$B$9*B29*$B$7</f>
        <v>179.999593141626</v>
      </c>
      <c r="I29" s="15" t="n">
        <f aca="false">$B$8</f>
        <v>11970</v>
      </c>
      <c r="J29" s="15" t="n">
        <f aca="false">G29-H29-I29</f>
        <v>-10116.7288961794</v>
      </c>
      <c r="K29" s="15" t="n">
        <f aca="false">K28+J29</f>
        <v>-150843.515784576</v>
      </c>
      <c r="L29" s="15" t="n">
        <f aca="false">MIN(J29:J51)</f>
        <v>-10116.7288961794</v>
      </c>
    </row>
    <row r="30" customFormat="false" ht="15" hidden="false" customHeight="false" outlineLevel="0" collapsed="false">
      <c r="A30" s="0" t="n">
        <v>15</v>
      </c>
      <c r="B30" s="22" t="n">
        <f aca="false">IF(Inputs!B22=0,1,1/(1+EXP(-Inputs!B22*(A30-Inputs!B21))))</f>
        <v>0.999999168471972</v>
      </c>
      <c r="C30" s="32" t="n">
        <f aca="false">IF(A30-Inputs!B23&lt;1,0,$B$9*IF(Inputs!B22=0,1,1/(1+EXP(-Inputs!B22*(A30-Inputs!B23-Inputs!B21)))))</f>
        <v>1.79999850324955</v>
      </c>
      <c r="D30" s="32" t="n">
        <f aca="true">D29*(1-$B$5)+IF(A30-Inputs!B17&lt;1,0,OFFSET(C30,-Inputs!B17,0)*(1-$B$5)^Inputs!B17)</f>
        <v>19.4175539104299</v>
      </c>
      <c r="E30" s="15" t="n">
        <f aca="false">IF(D30&gt;0,F30/D30,0)</f>
        <v>136.147346205743</v>
      </c>
      <c r="F30" s="15" t="n">
        <f aca="true">F29*(1-$B$5)*(1+$B$6)+IF(A30-Inputs!B17&lt;1,0,OFFSET(C30,-Inputs!B17,0)*(1-$B$5)^Inputs!B17)*$B$3</f>
        <v>2643.64843471198</v>
      </c>
      <c r="G30" s="15" t="n">
        <f aca="false">F30*$B$4</f>
        <v>2114.91874776958</v>
      </c>
      <c r="H30" s="15" t="n">
        <f aca="false">$B$9*B30*$B$7</f>
        <v>179.999850324955</v>
      </c>
      <c r="I30" s="15" t="n">
        <f aca="false">$B$8</f>
        <v>11970</v>
      </c>
      <c r="J30" s="15" t="n">
        <f aca="false">G30-H30-I30</f>
        <v>-10035.0811025554</v>
      </c>
      <c r="K30" s="15" t="n">
        <f aca="false">K29+J30</f>
        <v>-160878.596887131</v>
      </c>
      <c r="L30" s="15" t="n">
        <f aca="false">MIN(J30:J51)</f>
        <v>-10035.0811025554</v>
      </c>
    </row>
    <row r="31" customFormat="false" ht="15" hidden="false" customHeight="false" outlineLevel="0" collapsed="false">
      <c r="A31" s="0" t="n">
        <v>16</v>
      </c>
      <c r="B31" s="22" t="n">
        <f aca="false">IF(Inputs!B22=0,1,1/(1+EXP(-Inputs!B22*(A31-Inputs!B21))))</f>
        <v>0.999999694097773</v>
      </c>
      <c r="C31" s="32" t="n">
        <f aca="false">IF(A31-Inputs!B23&lt;1,0,$B$9*IF(Inputs!B22=0,1,1/(1+EXP(-Inputs!B22*(A31-Inputs!B23-Inputs!B21)))))</f>
        <v>1.79999944937599</v>
      </c>
      <c r="D31" s="32" t="n">
        <f aca="true">D30*(1-$B$5)+IF(A31-Inputs!B17&lt;1,0,OFFSET(C31,-Inputs!B17,0)*(1-$B$5)^Inputs!B17)</f>
        <v>20.1566747929954</v>
      </c>
      <c r="E31" s="15" t="n">
        <f aca="false">IF(D31&gt;0,F31/D31,0)</f>
        <v>135.965175336977</v>
      </c>
      <c r="F31" s="15" t="n">
        <f aca="true">F30*(1-$B$5)*(1+$B$6)+IF(A31-Inputs!B17&lt;1,0,OFFSET(C31,-Inputs!B17,0)*(1-$B$5)^Inputs!B17)*$B$3</f>
        <v>2740.60582244005</v>
      </c>
      <c r="G31" s="15" t="n">
        <f aca="false">F31*$B$4</f>
        <v>2192.48465795204</v>
      </c>
      <c r="H31" s="15" t="n">
        <f aca="false">$B$9*B31*$B$7</f>
        <v>179.999944937599</v>
      </c>
      <c r="I31" s="15" t="n">
        <f aca="false">$B$8</f>
        <v>11970</v>
      </c>
      <c r="J31" s="15" t="n">
        <f aca="false">G31-H31-I31</f>
        <v>-9957.51528698556</v>
      </c>
      <c r="K31" s="15" t="n">
        <f aca="false">K30+J31</f>
        <v>-170836.112174117</v>
      </c>
      <c r="L31" s="15" t="n">
        <f aca="false">MIN(J31:J51)</f>
        <v>-9957.51528698556</v>
      </c>
    </row>
    <row r="32" customFormat="false" ht="15" hidden="false" customHeight="false" outlineLevel="0" collapsed="false">
      <c r="A32" s="0" t="n">
        <v>17</v>
      </c>
      <c r="B32" s="22" t="n">
        <f aca="false">IF(Inputs!B22=0,1,1/(1+EXP(-Inputs!B22*(A32-Inputs!B21))))</f>
        <v>0.999999887464838</v>
      </c>
      <c r="C32" s="32" t="n">
        <f aca="false">IF(A32-Inputs!B23&lt;1,0,$B$9*IF(Inputs!B22=0,1,1/(1+EXP(-Inputs!B22*(A32-Inputs!B23-Inputs!B21)))))</f>
        <v>1.79999979743671</v>
      </c>
      <c r="D32" s="32" t="n">
        <f aca="true">D31*(1-$B$5)+IF(A32-Inputs!B17&lt;1,0,OFFSET(C32,-Inputs!B17,0)*(1-$B$5)^Inputs!B17)</f>
        <v>20.8588405302529</v>
      </c>
      <c r="E32" s="15" t="n">
        <f aca="false">IF(D32&gt;0,F32/D32,0)</f>
        <v>135.804071041971</v>
      </c>
      <c r="F32" s="15" t="n">
        <f aca="true">F31*(1-$B$5)*(1+$B$6)+IF(A32-Inputs!B17&lt;1,0,OFFSET(C32,-Inputs!B17,0)*(1-$B$5)^Inputs!B17)*$B$3</f>
        <v>2832.71546122361</v>
      </c>
      <c r="G32" s="15" t="n">
        <f aca="false">F32*$B$4</f>
        <v>2266.17236897889</v>
      </c>
      <c r="H32" s="15" t="n">
        <f aca="false">$B$9*B32*$B$7</f>
        <v>179.999979743671</v>
      </c>
      <c r="I32" s="15" t="n">
        <f aca="false">$B$8</f>
        <v>11970</v>
      </c>
      <c r="J32" s="15" t="n">
        <f aca="false">G32-H32-I32</f>
        <v>-9883.82761076478</v>
      </c>
      <c r="K32" s="15" t="n">
        <f aca="false">K31+J32</f>
        <v>-180719.939784882</v>
      </c>
      <c r="L32" s="15" t="n">
        <f aca="false">MIN(J32:J51)</f>
        <v>-9883.82761076478</v>
      </c>
    </row>
    <row r="33" customFormat="false" ht="15" hidden="false" customHeight="false" outlineLevel="0" collapsed="false">
      <c r="A33" s="0" t="n">
        <v>18</v>
      </c>
      <c r="B33" s="22" t="n">
        <f aca="false">IF(Inputs!B22=0,1,1/(1+EXP(-Inputs!B22*(A33-Inputs!B21))))</f>
        <v>0.999999958600624</v>
      </c>
      <c r="C33" s="32" t="n">
        <f aca="false">IF(A33-Inputs!B23&lt;1,0,$B$9*IF(Inputs!B22=0,1,1/(1+EXP(-Inputs!B22*(A33-Inputs!B23-Inputs!B21)))))</f>
        <v>1.79999992548112</v>
      </c>
      <c r="D33" s="32" t="n">
        <f aca="true">D32*(1-$B$5)+IF(A33-Inputs!B17&lt;1,0,OFFSET(C33,-Inputs!B17,0)*(1-$B$5)^Inputs!B17)</f>
        <v>21.5258983113051</v>
      </c>
      <c r="E33" s="15" t="n">
        <f aca="false">IF(D33&gt;0,F33/D33,0)</f>
        <v>135.66075710961</v>
      </c>
      <c r="F33" s="15" t="n">
        <f aca="true">F32*(1-$B$5)*(1+$B$6)+IF(A33-Inputs!B17&lt;1,0,OFFSET(C33,-Inputs!B17,0)*(1-$B$5)^Inputs!B17)*$B$3</f>
        <v>2920.21966237612</v>
      </c>
      <c r="G33" s="15" t="n">
        <f aca="false">F33*$B$4</f>
        <v>2336.1757299009</v>
      </c>
      <c r="H33" s="15" t="n">
        <f aca="false">$B$9*B33*$B$7</f>
        <v>179.999992548112</v>
      </c>
      <c r="I33" s="15" t="n">
        <f aca="false">$B$8</f>
        <v>11970</v>
      </c>
      <c r="J33" s="15" t="n">
        <f aca="false">G33-H33-I33</f>
        <v>-9813.82426264722</v>
      </c>
      <c r="K33" s="15" t="n">
        <f aca="false">K32+J33</f>
        <v>-190533.764047529</v>
      </c>
      <c r="L33" s="15" t="n">
        <f aca="false">MIN(J33:J51)</f>
        <v>-9813.82426264722</v>
      </c>
    </row>
    <row r="34" customFormat="false" ht="15" hidden="false" customHeight="false" outlineLevel="0" collapsed="false">
      <c r="A34" s="0" t="n">
        <v>19</v>
      </c>
      <c r="B34" s="22" t="n">
        <f aca="false">IF(Inputs!B22=0,1,1/(1+EXP(-Inputs!B22*(A34-Inputs!B21))))</f>
        <v>0.999999984770021</v>
      </c>
      <c r="C34" s="32" t="n">
        <f aca="false">IF(A34-Inputs!B23&lt;1,0,$B$9*IF(Inputs!B22=0,1,1/(1+EXP(-Inputs!B22*(A34-Inputs!B23-Inputs!B21)))))</f>
        <v>1.79999997258604</v>
      </c>
      <c r="D34" s="32" t="n">
        <f aca="true">D33*(1-$B$5)+IF(A34-Inputs!B17&lt;1,0,OFFSET(C34,-Inputs!B17,0)*(1-$B$5)^Inputs!B17)</f>
        <v>22.1596033249469</v>
      </c>
      <c r="E34" s="15" t="n">
        <f aca="false">IF(D34&gt;0,F34/D34,0)</f>
        <v>135.532600729813</v>
      </c>
      <c r="F34" s="15" t="n">
        <f aca="true">F33*(1-$B$5)*(1+$B$6)+IF(A34-Inputs!B17&lt;1,0,OFFSET(C34,-Inputs!B17,0)*(1-$B$5)^Inputs!B17)*$B$3</f>
        <v>3003.34866977106</v>
      </c>
      <c r="G34" s="15" t="n">
        <f aca="false">F34*$B$4</f>
        <v>2402.67893581685</v>
      </c>
      <c r="H34" s="15" t="n">
        <f aca="false">$B$9*B34*$B$7</f>
        <v>179.999997258604</v>
      </c>
      <c r="I34" s="15" t="n">
        <f aca="false">$B$8</f>
        <v>11970</v>
      </c>
      <c r="J34" s="15" t="n">
        <f aca="false">G34-H34-I34</f>
        <v>-9747.32106144175</v>
      </c>
      <c r="K34" s="15" t="n">
        <f aca="false">K33+J34</f>
        <v>-200281.085108971</v>
      </c>
      <c r="L34" s="15" t="n">
        <f aca="false">MIN(J34:J51)</f>
        <v>-9747.32106144175</v>
      </c>
    </row>
    <row r="35" customFormat="false" ht="15" hidden="false" customHeight="false" outlineLevel="0" collapsed="false">
      <c r="A35" s="0" t="n">
        <v>20</v>
      </c>
      <c r="B35" s="22" t="n">
        <f aca="false">IF(Inputs!B22=0,1,1/(1+EXP(-Inputs!B22*(A35-Inputs!B21))))</f>
        <v>0.999999994397204</v>
      </c>
      <c r="C35" s="32" t="n">
        <f aca="false">IF(A35-Inputs!B23&lt;1,0,$B$9*IF(Inputs!B22=0,1,1/(1+EXP(-Inputs!B22*(A35-Inputs!B23-Inputs!B21)))))</f>
        <v>1.79999998991497</v>
      </c>
      <c r="D35" s="32" t="n">
        <f aca="true">D34*(1-$B$5)+IF(A35-Inputs!B17&lt;1,0,OFFSET(C35,-Inputs!B17,0)*(1-$B$5)^Inputs!B17)</f>
        <v>22.7616231326563</v>
      </c>
      <c r="E35" s="15" t="n">
        <f aca="false">IF(D35&gt;0,F35/D35,0)</f>
        <v>135.417461875576</v>
      </c>
      <c r="F35" s="15" t="n">
        <f aca="true">F34*(1-$B$5)*(1+$B$6)+IF(A35-Inputs!B17&lt;1,0,OFFSET(C35,-Inputs!B17,0)*(1-$B$5)^Inputs!B17)*$B$3</f>
        <v>3082.32123279271</v>
      </c>
      <c r="G35" s="15" t="n">
        <f aca="false">F35*$B$4</f>
        <v>2465.85698623417</v>
      </c>
      <c r="H35" s="15" t="n">
        <f aca="false">$B$9*B35*$B$7</f>
        <v>179.999998991497</v>
      </c>
      <c r="I35" s="15" t="n">
        <f aca="false">$B$8</f>
        <v>11970</v>
      </c>
      <c r="J35" s="15" t="n">
        <f aca="false">G35-H35-I35</f>
        <v>-9684.14301275733</v>
      </c>
      <c r="K35" s="15" t="n">
        <f aca="false">K34+J35</f>
        <v>-209965.228121728</v>
      </c>
      <c r="L35" s="15" t="n">
        <f aca="false">MIN(J35:J51)</f>
        <v>-9684.14301275733</v>
      </c>
    </row>
    <row r="36" customFormat="false" ht="15" hidden="false" customHeight="false" outlineLevel="0" collapsed="false">
      <c r="A36" s="0" t="n">
        <v>21</v>
      </c>
      <c r="B36" s="22" t="n">
        <f aca="false">IF(Inputs!B22=0,1,1/(1+EXP(-Inputs!B22*(A36-Inputs!B21))))</f>
        <v>0.999999997938846</v>
      </c>
      <c r="C36" s="32" t="n">
        <f aca="false">IF(A36-Inputs!B23&lt;1,0,$B$9*IF(Inputs!B22=0,1,1/(1+EXP(-Inputs!B22*(A36-Inputs!B23-Inputs!B21)))))</f>
        <v>1.79999999628992</v>
      </c>
      <c r="D36" s="32" t="n">
        <f aca="true">D35*(1-$B$5)+IF(A36-Inputs!B17&lt;1,0,OFFSET(C36,-Inputs!B17,0)*(1-$B$5)^Inputs!B17)</f>
        <v>23.3335419664427</v>
      </c>
      <c r="E36" s="15" t="n">
        <f aca="false">IF(D36&gt;0,F36/D36,0)</f>
        <v>135.313583098957</v>
      </c>
      <c r="F36" s="15" t="n">
        <f aca="true">F35*(1-$B$5)*(1+$B$6)+IF(A36-Inputs!B17&lt;1,0,OFFSET(C36,-Inputs!B17,0)*(1-$B$5)^Inputs!B17)*$B$3</f>
        <v>3157.34516986925</v>
      </c>
      <c r="G36" s="15" t="n">
        <f aca="false">F36*$B$4</f>
        <v>2525.8761358954</v>
      </c>
      <c r="H36" s="15" t="n">
        <f aca="false">$B$9*B36*$B$7</f>
        <v>179.999999628992</v>
      </c>
      <c r="I36" s="15" t="n">
        <f aca="false">$B$8</f>
        <v>11970</v>
      </c>
      <c r="J36" s="15" t="n">
        <f aca="false">G36-H36-I36</f>
        <v>-9624.12386373359</v>
      </c>
      <c r="K36" s="15" t="n">
        <f aca="false">K35+J36</f>
        <v>-219589.351985462</v>
      </c>
      <c r="L36" s="15" t="n">
        <f aca="false">MIN(J36:J51)</f>
        <v>-9624.12386373359</v>
      </c>
    </row>
    <row r="37" customFormat="false" ht="15" hidden="false" customHeight="false" outlineLevel="0" collapsed="false">
      <c r="A37" s="0" t="n">
        <v>22</v>
      </c>
      <c r="B37" s="22" t="n">
        <f aca="false">IF(Inputs!B22=0,1,1/(1+EXP(-Inputs!B22*(A37-Inputs!B21))))</f>
        <v>0.999999999241744</v>
      </c>
      <c r="C37" s="32" t="n">
        <f aca="false">IF(A37-Inputs!B23&lt;1,0,$B$9*IF(Inputs!B22=0,1,1/(1+EXP(-Inputs!B22*(A37-Inputs!B23-Inputs!B21)))))</f>
        <v>1.79999999863514</v>
      </c>
      <c r="D37" s="32" t="n">
        <f aca="true">D36*(1-$B$5)+IF(A37-Inputs!B17&lt;1,0,OFFSET(C37,-Inputs!B17,0)*(1-$B$5)^Inputs!B17)</f>
        <v>23.876864864596</v>
      </c>
      <c r="E37" s="15" t="n">
        <f aca="false">IF(D37&gt;0,F37/D37,0)</f>
        <v>135.219507636901</v>
      </c>
      <c r="F37" s="15" t="n">
        <f aca="true">F36*(1-$B$5)*(1+$B$6)+IF(A37-Inputs!B17&lt;1,0,OFFSET(C37,-Inputs!B17,0)*(1-$B$5)^Inputs!B17)*$B$3</f>
        <v>3228.6179109035</v>
      </c>
      <c r="G37" s="15" t="n">
        <f aca="false">F37*$B$4</f>
        <v>2582.8943287228</v>
      </c>
      <c r="H37" s="15" t="n">
        <f aca="false">$B$9*B37*$B$7</f>
        <v>179.999999863514</v>
      </c>
      <c r="I37" s="15" t="n">
        <f aca="false">$B$8</f>
        <v>11970</v>
      </c>
      <c r="J37" s="15" t="n">
        <f aca="false">G37-H37-I37</f>
        <v>-9567.10567114072</v>
      </c>
      <c r="K37" s="15" t="n">
        <f aca="false">K36+J37</f>
        <v>-229156.457656602</v>
      </c>
      <c r="L37" s="15" t="n">
        <f aca="false">MIN(J37:J51)</f>
        <v>-9567.10567114072</v>
      </c>
    </row>
    <row r="38" customFormat="false" ht="15" hidden="false" customHeight="false" outlineLevel="0" collapsed="false">
      <c r="A38" s="0" t="n">
        <v>23</v>
      </c>
      <c r="B38" s="22" t="n">
        <f aca="false">IF(Inputs!B22=0,1,1/(1+EXP(-Inputs!B22*(A38-Inputs!B21))))</f>
        <v>0.999999999721053</v>
      </c>
      <c r="C38" s="32" t="n">
        <f aca="false">IF(A38-Inputs!B23&lt;1,0,$B$9*IF(Inputs!B22=0,1,1/(1+EXP(-Inputs!B22*(A38-Inputs!B23-Inputs!B21)))))</f>
        <v>1.7999999994979</v>
      </c>
      <c r="D38" s="32" t="n">
        <f aca="true">D37*(1-$B$5)+IF(A38-Inputs!B17&lt;1,0,OFFSET(C38,-Inputs!B17,0)*(1-$B$5)^Inputs!B17)</f>
        <v>24.3930216200696</v>
      </c>
      <c r="E38" s="15" t="n">
        <f aca="false">IF(D38&gt;0,F38/D38,0)</f>
        <v>135.134017692687</v>
      </c>
      <c r="F38" s="15" t="n">
        <f aca="true">F37*(1-$B$5)*(1+$B$6)+IF(A38-Inputs!B17&lt;1,0,OFFSET(C38,-Inputs!B17,0)*(1-$B$5)^Inputs!B17)*$B$3</f>
        <v>3296.32701518457</v>
      </c>
      <c r="G38" s="15" t="n">
        <f aca="false">F38*$B$4</f>
        <v>2637.06161214766</v>
      </c>
      <c r="H38" s="15" t="n">
        <f aca="false">$B$9*B38*$B$7</f>
        <v>179.99999994979</v>
      </c>
      <c r="I38" s="15" t="n">
        <f aca="false">$B$8</f>
        <v>11970</v>
      </c>
      <c r="J38" s="15" t="n">
        <f aca="false">G38-H38-I38</f>
        <v>-9512.93838780213</v>
      </c>
      <c r="K38" s="15" t="n">
        <f aca="false">K37+J38</f>
        <v>-238669.396044404</v>
      </c>
      <c r="L38" s="15" t="n">
        <f aca="false">MIN(J38:J51)</f>
        <v>-9512.93838780213</v>
      </c>
    </row>
    <row r="39" customFormat="false" ht="15" hidden="false" customHeight="false" outlineLevel="0" collapsed="false">
      <c r="A39" s="0" t="n">
        <v>24</v>
      </c>
      <c r="B39" s="22" t="n">
        <f aca="false">IF(Inputs!B22=0,1,1/(1+EXP(-Inputs!B22*(A39-Inputs!B21))))</f>
        <v>0.999999999897381</v>
      </c>
      <c r="C39" s="32" t="n">
        <f aca="false">IF(A39-Inputs!B23&lt;1,0,$B$9*IF(Inputs!B22=0,1,1/(1+EXP(-Inputs!B22*(A39-Inputs!B23-Inputs!B21)))))</f>
        <v>1.79999999981529</v>
      </c>
      <c r="D39" s="32" t="n">
        <f aca="true">D38*(1-$B$5)+IF(A39-Inputs!B17&lt;1,0,OFFSET(C39,-Inputs!B17,0)*(1-$B$5)^Inputs!B17)</f>
        <v>24.8833705385891</v>
      </c>
      <c r="E39" s="15" t="n">
        <f aca="false">IF(D39&gt;0,F39/D39,0)</f>
        <v>135.056087323449</v>
      </c>
      <c r="F39" s="15" t="n">
        <f aca="true">F38*(1-$B$5)*(1+$B$6)+IF(A39-Inputs!B17&lt;1,0,OFFSET(C39,-Inputs!B17,0)*(1-$B$5)^Inputs!B17)*$B$3</f>
        <v>3360.65066436143</v>
      </c>
      <c r="G39" s="15" t="n">
        <f aca="false">F39*$B$4</f>
        <v>2688.52053148914</v>
      </c>
      <c r="H39" s="15" t="n">
        <f aca="false">$B$9*B39*$B$7</f>
        <v>179.999999981529</v>
      </c>
      <c r="I39" s="15" t="n">
        <f aca="false">$B$8</f>
        <v>11970</v>
      </c>
      <c r="J39" s="15" t="n">
        <f aca="false">G39-H39-I39</f>
        <v>-9461.47946849239</v>
      </c>
      <c r="K39" s="15" t="n">
        <f aca="false">K38+J39</f>
        <v>-248130.875512897</v>
      </c>
      <c r="L39" s="15" t="n">
        <f aca="false">MIN(J39:J51)</f>
        <v>-9461.47946849239</v>
      </c>
    </row>
    <row r="40" customFormat="false" ht="15" hidden="false" customHeight="false" outlineLevel="0" collapsed="false">
      <c r="A40" s="0" t="n">
        <v>25</v>
      </c>
      <c r="B40" s="22" t="n">
        <f aca="false">IF(Inputs!B22=0,1,1/(1+EXP(-Inputs!B22*(A40-Inputs!B21))))</f>
        <v>0.999999999962249</v>
      </c>
      <c r="C40" s="32" t="n">
        <f aca="false">IF(A40-Inputs!B23&lt;1,0,$B$9*IF(Inputs!B22=0,1,1/(1+EXP(-Inputs!B22*(A40-Inputs!B23-Inputs!B21)))))</f>
        <v>1.79999999993205</v>
      </c>
      <c r="D40" s="32" t="n">
        <f aca="true">D39*(1-$B$5)+IF(A40-Inputs!B17&lt;1,0,OFFSET(C40,-Inputs!B17,0)*(1-$B$5)^Inputs!B17)</f>
        <v>25.3492020114842</v>
      </c>
      <c r="E40" s="15" t="n">
        <f aca="false">IF(D40&gt;0,F40/D40,0)</f>
        <v>134.984846054312</v>
      </c>
      <c r="F40" s="15" t="n">
        <f aca="true">F39*(1-$B$5)*(1+$B$6)+IF(A40-Inputs!B17&lt;1,0,OFFSET(C40,-Inputs!B17,0)*(1-$B$5)^Inputs!B17)*$B$3</f>
        <v>3421.75813111984</v>
      </c>
      <c r="G40" s="15" t="n">
        <f aca="false">F40*$B$4</f>
        <v>2737.40650489587</v>
      </c>
      <c r="H40" s="15" t="n">
        <f aca="false">$B$9*B40*$B$7</f>
        <v>179.999999993205</v>
      </c>
      <c r="I40" s="15" t="n">
        <f aca="false">$B$8</f>
        <v>11970</v>
      </c>
      <c r="J40" s="15" t="n">
        <f aca="false">G40-H40-I40</f>
        <v>-9412.59349509733</v>
      </c>
      <c r="K40" s="15" t="n">
        <f aca="false">K39+J40</f>
        <v>-257543.469007994</v>
      </c>
      <c r="L40" s="15" t="n">
        <f aca="false">MIN(J40:J51)</f>
        <v>-9412.59349509733</v>
      </c>
    </row>
    <row r="41" customFormat="false" ht="15" hidden="false" customHeight="false" outlineLevel="0" collapsed="false">
      <c r="A41" s="0" t="n">
        <v>26</v>
      </c>
      <c r="B41" s="22" t="n">
        <f aca="false">IF(Inputs!B22=0,1,1/(1+EXP(-Inputs!B22*(A41-Inputs!B21))))</f>
        <v>0.999999999986112</v>
      </c>
      <c r="C41" s="32" t="n">
        <f aca="false">IF(A41-Inputs!B23&lt;1,0,$B$9*IF(Inputs!B22=0,1,1/(1+EXP(-Inputs!B22*(A41-Inputs!B23-Inputs!B21)))))</f>
        <v>1.799999999975</v>
      </c>
      <c r="D41" s="32" t="n">
        <f aca="true">D40*(1-$B$5)+IF(A41-Inputs!B17&lt;1,0,OFFSET(C41,-Inputs!B17,0)*(1-$B$5)^Inputs!B17)</f>
        <v>25.7917419108454</v>
      </c>
      <c r="E41" s="15" t="n">
        <f aca="false">IF(D41&gt;0,F41/D41,0)</f>
        <v>134.919550474097</v>
      </c>
      <c r="F41" s="15" t="n">
        <f aca="true">F40*(1-$B$5)*(1+$B$6)+IF(A41-Inputs!B17&lt;1,0,OFFSET(C41,-Inputs!B17,0)*(1-$B$5)^Inputs!B17)*$B$3</f>
        <v>3479.8102245552</v>
      </c>
      <c r="G41" s="15" t="n">
        <f aca="false">F41*$B$4</f>
        <v>2783.84817964416</v>
      </c>
      <c r="H41" s="15" t="n">
        <f aca="false">$B$9*B41*$B$7</f>
        <v>179.9999999975</v>
      </c>
      <c r="I41" s="15" t="n">
        <f aca="false">$B$8</f>
        <v>11970</v>
      </c>
      <c r="J41" s="15" t="n">
        <f aca="false">G41-H41-I41</f>
        <v>-9366.15182035334</v>
      </c>
      <c r="K41" s="15" t="n">
        <f aca="false">K40+J41</f>
        <v>-266909.620828348</v>
      </c>
      <c r="L41" s="15" t="n">
        <f aca="false">MIN(J41:J51)</f>
        <v>-9366.15182035334</v>
      </c>
    </row>
    <row r="42" customFormat="false" ht="15" hidden="false" customHeight="false" outlineLevel="0" collapsed="false">
      <c r="A42" s="0" t="n">
        <v>27</v>
      </c>
      <c r="B42" s="22" t="n">
        <f aca="false">IF(Inputs!B22=0,1,1/(1+EXP(-Inputs!B22*(A42-Inputs!B21))))</f>
        <v>0.999999999994891</v>
      </c>
      <c r="C42" s="32" t="n">
        <f aca="false">IF(A42-Inputs!B23&lt;1,0,$B$9*IF(Inputs!B22=0,1,1/(1+EXP(-Inputs!B22*(A42-Inputs!B23-Inputs!B21)))))</f>
        <v>1.7999999999908</v>
      </c>
      <c r="D42" s="32" t="n">
        <f aca="true">D41*(1-$B$5)+IF(A42-Inputs!B17&lt;1,0,OFFSET(C42,-Inputs!B17,0)*(1-$B$5)^Inputs!B17)</f>
        <v>26.2121548152794</v>
      </c>
      <c r="E42" s="15" t="n">
        <f aca="false">IF(D42&gt;0,F42/D42,0)</f>
        <v>134.859561842039</v>
      </c>
      <c r="F42" s="15" t="n">
        <f aca="true">F41*(1-$B$5)*(1+$B$6)+IF(A42-Inputs!B17&lt;1,0,OFFSET(C42,-Inputs!B17,0)*(1-$B$5)^Inputs!B17)*$B$3</f>
        <v>3534.95971332426</v>
      </c>
      <c r="G42" s="15" t="n">
        <f aca="false">F42*$B$4</f>
        <v>2827.96777065941</v>
      </c>
      <c r="H42" s="15" t="n">
        <f aca="false">$B$9*B42*$B$7</f>
        <v>179.99999999908</v>
      </c>
      <c r="I42" s="15" t="n">
        <f aca="false">$B$8</f>
        <v>11970</v>
      </c>
      <c r="J42" s="15" t="n">
        <f aca="false">G42-H42-I42</f>
        <v>-9322.03222933968</v>
      </c>
      <c r="K42" s="15" t="n">
        <f aca="false">K41+J42</f>
        <v>-276231.653057687</v>
      </c>
      <c r="L42" s="15" t="n">
        <f aca="false">MIN(J42:J51)</f>
        <v>-9322.03222933968</v>
      </c>
    </row>
    <row r="43" customFormat="false" ht="15" hidden="false" customHeight="false" outlineLevel="0" collapsed="false">
      <c r="A43" s="0" t="n">
        <v>28</v>
      </c>
      <c r="B43" s="22" t="n">
        <f aca="false">IF(Inputs!B22=0,1,1/(1+EXP(-Inputs!B22*(A43-Inputs!B21))))</f>
        <v>0.99999999999812</v>
      </c>
      <c r="C43" s="32" t="n">
        <f aca="false">IF(A43-Inputs!B23&lt;1,0,$B$9*IF(Inputs!B22=0,1,1/(1+EXP(-Inputs!B22*(A43-Inputs!B23-Inputs!B21)))))</f>
        <v>1.79999999999662</v>
      </c>
      <c r="D43" s="32" t="n">
        <f aca="true">D42*(1-$B$5)+IF(A43-Inputs!B17&lt;1,0,OFFSET(C43,-Inputs!B17,0)*(1-$B$5)^Inputs!B17)</f>
        <v>26.6115470745067</v>
      </c>
      <c r="E43" s="15" t="n">
        <f aca="false">IF(D43&gt;0,F43/D43,0)</f>
        <v>134.804328271974</v>
      </c>
      <c r="F43" s="15" t="n">
        <f aca="true">F42*(1-$B$5)*(1+$B$6)+IF(A43-Inputs!B17&lt;1,0,OFFSET(C43,-Inputs!B17,0)*(1-$B$5)^Inputs!B17)*$B$3</f>
        <v>3587.35172765687</v>
      </c>
      <c r="G43" s="15" t="n">
        <f aca="false">F43*$B$4</f>
        <v>2869.8813821255</v>
      </c>
      <c r="H43" s="15" t="n">
        <f aca="false">$B$9*B43*$B$7</f>
        <v>179.999999999662</v>
      </c>
      <c r="I43" s="15" t="n">
        <f aca="false">$B$8</f>
        <v>11970</v>
      </c>
      <c r="J43" s="15" t="n">
        <f aca="false">G43-H43-I43</f>
        <v>-9280.11861787416</v>
      </c>
      <c r="K43" s="15" t="n">
        <f aca="false">K42+J43</f>
        <v>-285511.771675561</v>
      </c>
      <c r="L43" s="15" t="n">
        <f aca="false">MIN(J43:J51)</f>
        <v>-9280.11861787416</v>
      </c>
    </row>
    <row r="44" customFormat="false" ht="15" hidden="false" customHeight="false" outlineLevel="0" collapsed="false">
      <c r="A44" s="0" t="n">
        <v>29</v>
      </c>
      <c r="B44" s="22" t="n">
        <f aca="false">IF(Inputs!B22=0,1,1/(1+EXP(-Inputs!B22*(A44-Inputs!B21))))</f>
        <v>0.999999999999309</v>
      </c>
      <c r="C44" s="32" t="n">
        <f aca="false">IF(A44-Inputs!B23&lt;1,0,$B$9*IF(Inputs!B22=0,1,1/(1+EXP(-Inputs!B22*(A44-Inputs!B23-Inputs!B21)))))</f>
        <v>1.79999999999876</v>
      </c>
      <c r="D44" s="32" t="n">
        <f aca="true">D43*(1-$B$5)+IF(A44-Inputs!B17&lt;1,0,OFFSET(C44,-Inputs!B17,0)*(1-$B$5)^Inputs!B17)</f>
        <v>26.9909697207781</v>
      </c>
      <c r="E44" s="15" t="n">
        <f aca="false">IF(D44&gt;0,F44/D44,0)</f>
        <v>134.753370438324</v>
      </c>
      <c r="F44" s="15" t="n">
        <f aca="true">F43*(1-$B$5)*(1+$B$6)+IF(A44-Inputs!B17&lt;1,0,OFFSET(C44,-Inputs!B17,0)*(1-$B$5)^Inputs!B17)*$B$3</f>
        <v>3637.1241412736</v>
      </c>
      <c r="G44" s="15" t="n">
        <f aca="false">F44*$B$4</f>
        <v>2909.69931301888</v>
      </c>
      <c r="H44" s="15" t="n">
        <f aca="false">$B$9*B44*$B$7</f>
        <v>179.999999999876</v>
      </c>
      <c r="I44" s="15" t="n">
        <f aca="false">$B$8</f>
        <v>11970</v>
      </c>
      <c r="J44" s="15" t="n">
        <f aca="false">G44-H44-I44</f>
        <v>-9240.300686981</v>
      </c>
      <c r="K44" s="15" t="n">
        <f aca="false">K43+J44</f>
        <v>-294752.072362542</v>
      </c>
      <c r="L44" s="15" t="n">
        <f aca="false">MIN(J44:J51)</f>
        <v>-9240.300686981</v>
      </c>
    </row>
    <row r="45" customFormat="false" ht="15" hidden="false" customHeight="false" outlineLevel="0" collapsed="false">
      <c r="A45" s="0" t="n">
        <v>30</v>
      </c>
      <c r="B45" s="22" t="n">
        <f aca="false">IF(Inputs!B22=0,1,1/(1+EXP(-Inputs!B22*(A45-Inputs!B21))))</f>
        <v>0.999999999999746</v>
      </c>
      <c r="C45" s="32" t="n">
        <f aca="false">IF(A45-Inputs!B23&lt;1,0,$B$9*IF(Inputs!B22=0,1,1/(1+EXP(-Inputs!B22*(A45-Inputs!B23-Inputs!B21)))))</f>
        <v>1.79999999999954</v>
      </c>
      <c r="D45" s="32" t="n">
        <f aca="true">D44*(1-$B$5)+IF(A45-Inputs!B17&lt;1,0,OFFSET(C45,-Inputs!B17,0)*(1-$B$5)^Inputs!B17)</f>
        <v>27.351421234738</v>
      </c>
      <c r="E45" s="15" t="n">
        <f aca="false">IF(D45&gt;0,F45/D45,0)</f>
        <v>134.706270017528</v>
      </c>
      <c r="F45" s="15" t="n">
        <f aca="true">F44*(1-$B$5)*(1+$B$6)+IF(A45-Inputs!B17&lt;1,0,OFFSET(C45,-Inputs!B17,0)*(1-$B$5)^Inputs!B17)*$B$3</f>
        <v>3684.40793420976</v>
      </c>
      <c r="G45" s="15" t="n">
        <f aca="false">F45*$B$4</f>
        <v>2947.52634736781</v>
      </c>
      <c r="H45" s="15" t="n">
        <f aca="false">$B$9*B45*$B$7</f>
        <v>179.999999999954</v>
      </c>
      <c r="I45" s="15" t="n">
        <f aca="false">$B$8</f>
        <v>11970</v>
      </c>
      <c r="J45" s="15" t="n">
        <f aca="false">G45-H45-I45</f>
        <v>-9202.47365263215</v>
      </c>
      <c r="K45" s="15" t="n">
        <f aca="false">K44+J45</f>
        <v>-303954.546015175</v>
      </c>
      <c r="L45" s="15" t="n">
        <f aca="false">MIN(J45:J51)</f>
        <v>-9202.47365263215</v>
      </c>
    </row>
    <row r="46" customFormat="false" ht="15" hidden="false" customHeight="false" outlineLevel="0" collapsed="false">
      <c r="A46" s="0" t="n">
        <v>31</v>
      </c>
      <c r="B46" s="22" t="n">
        <f aca="false">IF(Inputs!B22=0,1,1/(1+EXP(-Inputs!B22*(A46-Inputs!B21))))</f>
        <v>0.999999999999907</v>
      </c>
      <c r="C46" s="32" t="n">
        <f aca="false">IF(A46-Inputs!B23&lt;1,0,$B$9*IF(Inputs!B22=0,1,1/(1+EXP(-Inputs!B22*(A46-Inputs!B23-Inputs!B21)))))</f>
        <v>1.79999999999983</v>
      </c>
      <c r="D46" s="32" t="n">
        <f aca="true">D45*(1-$B$5)+IF(A46-Inputs!B17&lt;1,0,OFFSET(C46,-Inputs!B17,0)*(1-$B$5)^Inputs!B17)</f>
        <v>27.6938501730007</v>
      </c>
      <c r="E46" s="15" t="n">
        <f aca="false">IF(D46&gt;0,F46/D46,0)</f>
        <v>134.662660273038</v>
      </c>
      <c r="F46" s="15" t="n">
        <f aca="true">F45*(1-$B$5)*(1+$B$6)+IF(A46-Inputs!B17&lt;1,0,OFFSET(C46,-Inputs!B17,0)*(1-$B$5)^Inputs!B17)*$B$3</f>
        <v>3729.32753749921</v>
      </c>
      <c r="G46" s="15" t="n">
        <f aca="false">F46*$B$4</f>
        <v>2983.46202999937</v>
      </c>
      <c r="H46" s="15" t="n">
        <f aca="false">$B$9*B46*$B$7</f>
        <v>179.999999999983</v>
      </c>
      <c r="I46" s="15" t="n">
        <f aca="false">$B$8</f>
        <v>11970</v>
      </c>
      <c r="J46" s="15" t="n">
        <f aca="false">G46-H46-I46</f>
        <v>-9166.53797000061</v>
      </c>
      <c r="K46" s="15" t="n">
        <f aca="false">K45+J46</f>
        <v>-313121.083985175</v>
      </c>
      <c r="L46" s="15" t="n">
        <f aca="false">MIN(J46:J51)</f>
        <v>-9166.53797000061</v>
      </c>
    </row>
    <row r="47" customFormat="false" ht="15" hidden="false" customHeight="false" outlineLevel="0" collapsed="false">
      <c r="A47" s="0" t="n">
        <v>32</v>
      </c>
      <c r="B47" s="22" t="n">
        <f aca="false">IF(Inputs!B22=0,1,1/(1+EXP(-Inputs!B22*(A47-Inputs!B21))))</f>
        <v>0.999999999999966</v>
      </c>
      <c r="C47" s="32" t="n">
        <f aca="false">IF(A47-Inputs!B23&lt;1,0,$B$9*IF(Inputs!B22=0,1,1/(1+EXP(-Inputs!B22*(A47-Inputs!B23-Inputs!B21)))))</f>
        <v>1.79999999999994</v>
      </c>
      <c r="D47" s="32" t="n">
        <f aca="true">D46*(1-$B$5)+IF(A47-Inputs!B17&lt;1,0,OFFSET(C47,-Inputs!B17,0)*(1-$B$5)^Inputs!B17)</f>
        <v>28.0191576643505</v>
      </c>
      <c r="E47" s="15" t="n">
        <f aca="false">IF(D47&gt;0,F47/D47,0)</f>
        <v>134.622218333974</v>
      </c>
      <c r="F47" s="15" t="n">
        <f aca="true">F46*(1-$B$5)*(1+$B$6)+IF(A47-Inputs!B17&lt;1,0,OFFSET(C47,-Inputs!B17,0)*(1-$B$5)^Inputs!B17)*$B$3</f>
        <v>3772.00116062423</v>
      </c>
      <c r="G47" s="15" t="n">
        <f aca="false">F47*$B$4</f>
        <v>3017.60092849938</v>
      </c>
      <c r="H47" s="15" t="n">
        <f aca="false">$B$9*B47*$B$7</f>
        <v>179.999999999994</v>
      </c>
      <c r="I47" s="15" t="n">
        <f aca="false">$B$8</f>
        <v>11970</v>
      </c>
      <c r="J47" s="15" t="n">
        <f aca="false">G47-H47-I47</f>
        <v>-9132.39907150061</v>
      </c>
      <c r="K47" s="15" t="n">
        <f aca="false">K46+J47</f>
        <v>-322253.483056676</v>
      </c>
      <c r="L47" s="15" t="n">
        <f aca="false">MIN(J47:J51)</f>
        <v>-9132.39907150061</v>
      </c>
    </row>
    <row r="48" customFormat="false" ht="15" hidden="false" customHeight="false" outlineLevel="0" collapsed="false">
      <c r="A48" s="0" t="n">
        <v>33</v>
      </c>
      <c r="B48" s="22" t="n">
        <f aca="false">IF(Inputs!B22=0,1,1/(1+EXP(-Inputs!B22*(A48-Inputs!B21))))</f>
        <v>0.999999999999987</v>
      </c>
      <c r="C48" s="32" t="n">
        <f aca="false">IF(A48-Inputs!B23&lt;1,0,$B$9*IF(Inputs!B22=0,1,1/(1+EXP(-Inputs!B22*(A48-Inputs!B23-Inputs!B21)))))</f>
        <v>1.79999999999998</v>
      </c>
      <c r="D48" s="32" t="n">
        <f aca="true">D47*(1-$B$5)+IF(A48-Inputs!B17&lt;1,0,OFFSET(C48,-Inputs!B17,0)*(1-$B$5)^Inputs!B17)</f>
        <v>28.3281997811329</v>
      </c>
      <c r="E48" s="15" t="n">
        <f aca="false">IF(D48&gt;0,F48/D48,0)</f>
        <v>134.584658822275</v>
      </c>
      <c r="F48" s="15" t="n">
        <f aca="true">F47*(1-$B$5)*(1+$B$6)+IF(A48-Inputs!B17&lt;1,0,OFFSET(C48,-Inputs!B17,0)*(1-$B$5)^Inputs!B17)*$B$3</f>
        <v>3812.54110259301</v>
      </c>
      <c r="G48" s="15" t="n">
        <f aca="false">F48*$B$4</f>
        <v>3050.03288207441</v>
      </c>
      <c r="H48" s="15" t="n">
        <f aca="false">$B$9*B48*$B$7</f>
        <v>179.999999999998</v>
      </c>
      <c r="I48" s="15" t="n">
        <f aca="false">$B$8</f>
        <v>11970</v>
      </c>
      <c r="J48" s="15" t="n">
        <f aca="false">G48-H48-I48</f>
        <v>-9099.96711792559</v>
      </c>
      <c r="K48" s="15" t="n">
        <f aca="false">K47+J48</f>
        <v>-331353.450174601</v>
      </c>
      <c r="L48" s="15" t="n">
        <f aca="false">MIN(J48:J51)</f>
        <v>-9099.96711792559</v>
      </c>
    </row>
    <row r="49" customFormat="false" ht="15" hidden="false" customHeight="false" outlineLevel="0" collapsed="false">
      <c r="A49" s="0" t="n">
        <v>34</v>
      </c>
      <c r="B49" s="22" t="n">
        <f aca="false">IF(Inputs!B22=0,1,1/(1+EXP(-Inputs!B22*(A49-Inputs!B21))))</f>
        <v>0.999999999999995</v>
      </c>
      <c r="C49" s="32" t="n">
        <f aca="false">IF(A49-Inputs!B23&lt;1,0,$B$9*IF(Inputs!B22=0,1,1/(1+EXP(-Inputs!B22*(A49-Inputs!B23-Inputs!B21)))))</f>
        <v>1.79999999999999</v>
      </c>
      <c r="D49" s="32" t="n">
        <f aca="true">D48*(1-$B$5)+IF(A49-Inputs!B17&lt;1,0,OFFSET(C49,-Inputs!B17,0)*(1-$B$5)^Inputs!B17)</f>
        <v>28.6217897920762</v>
      </c>
      <c r="E49" s="15" t="n">
        <f aca="false">IF(D49&gt;0,F49/D49,0)</f>
        <v>134.549728561332</v>
      </c>
      <c r="F49" s="15" t="n">
        <f aca="true">F48*(1-$B$5)*(1+$B$6)+IF(A49-Inputs!B17&lt;1,0,OFFSET(C49,-Inputs!B17,0)*(1-$B$5)^Inputs!B17)*$B$3</f>
        <v>3851.05404746336</v>
      </c>
      <c r="G49" s="15" t="n">
        <f aca="false">F49*$B$4</f>
        <v>3080.84323797069</v>
      </c>
      <c r="H49" s="15" t="n">
        <f aca="false">$B$9*B49*$B$7</f>
        <v>179.999999999999</v>
      </c>
      <c r="I49" s="15" t="n">
        <f aca="false">$B$8</f>
        <v>11970</v>
      </c>
      <c r="J49" s="15" t="n">
        <f aca="false">G49-H49-I49</f>
        <v>-9069.15676202931</v>
      </c>
      <c r="K49" s="15" t="n">
        <f aca="false">K48+J49</f>
        <v>-340422.606936631</v>
      </c>
      <c r="L49" s="15" t="n">
        <f aca="false">MIN(J49:J51)</f>
        <v>-9069.15676202931</v>
      </c>
    </row>
    <row r="50" customFormat="false" ht="15" hidden="false" customHeight="false" outlineLevel="0" collapsed="false">
      <c r="A50" s="0" t="n">
        <v>35</v>
      </c>
      <c r="B50" s="22" t="n">
        <f aca="false">IF(Inputs!B22=0,1,1/(1+EXP(-Inputs!B22*(A50-Inputs!B21))))</f>
        <v>0.999999999999998</v>
      </c>
      <c r="C50" s="32" t="n">
        <f aca="false">IF(A50-Inputs!B23&lt;1,0,$B$9*IF(Inputs!B22=0,1,1/(1+EXP(-Inputs!B22*(A50-Inputs!B23-Inputs!B21)))))</f>
        <v>1.8</v>
      </c>
      <c r="D50" s="32" t="n">
        <f aca="true">D49*(1-$B$5)+IF(A50-Inputs!B17&lt;1,0,OFFSET(C50,-Inputs!B17,0)*(1-$B$5)^Inputs!B17)</f>
        <v>28.9007003024724</v>
      </c>
      <c r="E50" s="15" t="n">
        <f aca="false">IF(D50&gt;0,F50/D50,0)</f>
        <v>134.517202157818</v>
      </c>
      <c r="F50" s="15" t="n">
        <f aca="true">F49*(1-$B$5)*(1+$B$6)+IF(A50-Inputs!B17&lt;1,0,OFFSET(C50,-Inputs!B17,0)*(1-$B$5)^Inputs!B17)*$B$3</f>
        <v>3887.64134509019</v>
      </c>
      <c r="G50" s="15" t="n">
        <f aca="false">F50*$B$4</f>
        <v>3110.11307607215</v>
      </c>
      <c r="H50" s="15" t="n">
        <f aca="false">$B$9*B50*$B$7</f>
        <v>180</v>
      </c>
      <c r="I50" s="15" t="n">
        <f aca="false">$B$8</f>
        <v>11970</v>
      </c>
      <c r="J50" s="15" t="n">
        <f aca="false">G50-H50-I50</f>
        <v>-9039.88692392785</v>
      </c>
      <c r="K50" s="15" t="n">
        <f aca="false">K49+J50</f>
        <v>-349462.493860559</v>
      </c>
      <c r="L50" s="15" t="n">
        <f aca="false">MIN(J50:J51)</f>
        <v>-9039.88692392785</v>
      </c>
    </row>
    <row r="51" customFormat="false" ht="15" hidden="false" customHeight="false" outlineLevel="0" collapsed="false">
      <c r="A51" s="0" t="n">
        <v>36</v>
      </c>
      <c r="B51" s="22" t="n">
        <f aca="false">IF(Inputs!B22=0,1,1/(1+EXP(-Inputs!B22*(A51-Inputs!B21))))</f>
        <v>0.999999999999999</v>
      </c>
      <c r="C51" s="32" t="n">
        <f aca="false">IF(A51-Inputs!B23&lt;1,0,$B$9*IF(Inputs!B22=0,1,1/(1+EXP(-Inputs!B22*(A51-Inputs!B23-Inputs!B21)))))</f>
        <v>1.8</v>
      </c>
      <c r="D51" s="32" t="n">
        <f aca="true">D50*(1-$B$5)+IF(A51-Inputs!B17&lt;1,0,OFFSET(C51,-Inputs!B17,0)*(1-$B$5)^Inputs!B17)</f>
        <v>29.1656652873488</v>
      </c>
      <c r="E51" s="15" t="n">
        <f aca="false">IF(D51&gt;0,F51/D51,0)</f>
        <v>134.486878293056</v>
      </c>
      <c r="F51" s="15" t="n">
        <f aca="true">F50*(1-$B$5)*(1+$B$6)+IF(A51-Inputs!B17&lt;1,0,OFFSET(C51,-Inputs!B17,0)*(1-$B$5)^Inputs!B17)*$B$3</f>
        <v>3922.39927783568</v>
      </c>
      <c r="G51" s="15" t="n">
        <f aca="false">F51*$B$4</f>
        <v>3137.91942226854</v>
      </c>
      <c r="H51" s="15" t="n">
        <f aca="false">$B$9*B51*$B$7</f>
        <v>180</v>
      </c>
      <c r="I51" s="15" t="n">
        <f aca="false">$B$8</f>
        <v>11970</v>
      </c>
      <c r="J51" s="15" t="n">
        <f aca="false">G51-H51-I51</f>
        <v>-9012.08057773146</v>
      </c>
      <c r="K51" s="15" t="n">
        <f aca="false">K50+J51</f>
        <v>-358474.57443829</v>
      </c>
      <c r="L51" s="15" t="n">
        <f aca="false">MIN(J51)</f>
        <v>-9012.08057773146</v>
      </c>
    </row>
    <row r="53" customFormat="false" ht="15" hidden="false" customHeight="false" outlineLevel="0" collapsed="false">
      <c r="A53" s="14" t="s">
        <v>114</v>
      </c>
      <c r="B53" s="0" t="str">
        <f aca="false">IFERROR(INDEX(A16:A51,MATCH(TRUE(),INDEX(L16:L51&gt;=0,0),0)),"none")</f>
        <v>none</v>
      </c>
    </row>
    <row r="54" customFormat="false" ht="15" hidden="false" customHeight="false" outlineLevel="0" collapsed="false">
      <c r="A54" s="14" t="s">
        <v>19</v>
      </c>
      <c r="B54" s="15" t="n">
        <f aca="false">MAX(0,Inputs!B16,-MIN(K16:K51))</f>
        <v>358474.57443829</v>
      </c>
    </row>
    <row r="55" customFormat="false" ht="15" hidden="false" customHeight="false" outlineLevel="0" collapsed="false">
      <c r="A55" s="14" t="s">
        <v>115</v>
      </c>
      <c r="B55" s="16" t="n">
        <f aca="false">Inputs!B24*Inputs!C25</f>
        <v>75.36</v>
      </c>
    </row>
    <row r="56" customFormat="false" ht="15" hidden="false" customHeight="false" outlineLevel="0" collapsed="false">
      <c r="A56" s="14" t="s">
        <v>116</v>
      </c>
      <c r="B56" s="16" t="n">
        <f aca="false">D51</f>
        <v>29.1656652873488</v>
      </c>
    </row>
    <row r="57" customFormat="false" ht="15" hidden="false" customHeight="false" outlineLevel="0" collapsed="false">
      <c r="A57" s="14" t="s">
        <v>25</v>
      </c>
      <c r="B57" s="22" t="n">
        <f aca="false">IF(B55&gt;0,B56/B55,0)</f>
        <v>0.387017851477558</v>
      </c>
    </row>
    <row r="58" customFormat="false" ht="15" hidden="false" customHeight="false" outlineLevel="0" collapsed="false">
      <c r="A58" s="14" t="s">
        <v>117</v>
      </c>
      <c r="B58" s="0" t="str">
        <f aca="false">IF(B57&gt;1,"above_comparables",IF(B57&lt;0.1,"far_below_comparables","within_range"))</f>
        <v>within_range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119</v>
      </c>
    </row>
    <row r="3" customFormat="false" ht="15" hidden="false" customHeight="false" outlineLevel="0" collapsed="false">
      <c r="A3" s="17" t="s">
        <v>97</v>
      </c>
      <c r="B3" s="7" t="n">
        <f aca="false">Inputs!D5</f>
        <v>99</v>
      </c>
    </row>
    <row r="4" customFormat="false" ht="15" hidden="false" customHeight="false" outlineLevel="0" collapsed="false">
      <c r="A4" s="17" t="s">
        <v>17</v>
      </c>
      <c r="B4" s="10" t="n">
        <f aca="false">Inputs!D6</f>
        <v>0.7</v>
      </c>
    </row>
    <row r="5" customFormat="false" ht="15" hidden="false" customHeight="false" outlineLevel="0" collapsed="false">
      <c r="A5" s="17" t="s">
        <v>67</v>
      </c>
      <c r="B5" s="10" t="n">
        <f aca="false">Inputs!E7</f>
        <v>0.07</v>
      </c>
    </row>
    <row r="6" customFormat="false" ht="15" hidden="false" customHeight="false" outlineLevel="0" collapsed="false">
      <c r="A6" s="17" t="s">
        <v>98</v>
      </c>
      <c r="B6" s="10" t="n">
        <f aca="false">Inputs!D8</f>
        <v>0</v>
      </c>
    </row>
    <row r="7" customFormat="false" ht="15" hidden="false" customHeight="false" outlineLevel="0" collapsed="false">
      <c r="A7" s="17" t="s">
        <v>13</v>
      </c>
      <c r="B7" s="7" t="n">
        <f aca="false">Inputs!E11</f>
        <v>100</v>
      </c>
    </row>
    <row r="8" customFormat="false" ht="15" hidden="false" customHeight="false" outlineLevel="0" collapsed="false">
      <c r="A8" s="17" t="s">
        <v>99</v>
      </c>
      <c r="B8" s="7" t="n">
        <f aca="false">Inputs!B14*Inputs!E10+Inputs!B15</f>
        <v>16364</v>
      </c>
    </row>
    <row r="9" customFormat="false" ht="15" hidden="false" customHeight="false" outlineLevel="0" collapsed="false">
      <c r="A9" s="17" t="s">
        <v>100</v>
      </c>
      <c r="B9" s="28" t="n">
        <f aca="false">Inputs!D9</f>
        <v>1.2</v>
      </c>
    </row>
    <row r="10" customFormat="false" ht="15" hidden="false" customHeight="false" outlineLevel="0" collapsed="false">
      <c r="A10" s="17" t="s">
        <v>101</v>
      </c>
      <c r="B10" s="29" t="n">
        <f aca="false">B3*B4*(1-B5)^Inputs!B17*IF(ABS(1-(1-B5)*(1+B6))&lt;0.000001,MAX(0,60-Inputs!B17),(1-((1-B5)*(1+B6))^MAX(0,60-Inputs!B17))/(1-(1-B5)*(1+B6)))</f>
        <v>907.976338464693</v>
      </c>
    </row>
    <row r="11" customFormat="false" ht="15" hidden="false" customHeight="false" outlineLevel="0" collapsed="false">
      <c r="A11" s="17" t="s">
        <v>15</v>
      </c>
      <c r="B11" s="30" t="n">
        <f aca="false">IF(B7&gt;0,B10/B7,"n/a")</f>
        <v>9.07976338464693</v>
      </c>
    </row>
    <row r="12" customFormat="false" ht="15" hidden="false" customHeight="false" outlineLevel="0" collapsed="false">
      <c r="A12" s="17" t="s">
        <v>102</v>
      </c>
      <c r="B12" s="31" t="n">
        <f aca="false">IF(B3*B4&lt;=0,"none",IF(B7&lt;=0,1+Inputs!B17,IF((1-B5)*(1+B6)&lt;=0,IF(B7&lt;=B3*B4*(1-B5)^Inputs!B17,1+Inputs!B17,"none"),IF(ABS(1-(1-B5)*(1+B6))&lt;0.000001,IF(B7/(B3*B4*(1-B5)^Inputs!B17)&lt;=60-Inputs!B17,ROUNDUP(B7/(B3*B4*(1-B5)^Inputs!B17),0)+Inputs!B17,"none"),IF(1-B7*(1-(1-B5)*(1+B6))/(B3*B4*(1-B5)^Inputs!B17)&lt;=0,"none",IF(ROUNDUP(LN(1-B7*(1-(1-B5)*(1+B6))/(B3*B4*(1-B5)^Inputs!B17))/LN((1-B5)*(1+B6)),0)&lt;=60-Inputs!B17,ROUNDUP(LN(1-B7*(1-(1-B5)*(1+B6))/(B3*B4*(1-B5)^Inputs!B17))/LN((1-B5)*(1+B6)),0)+Inputs!B17,"none"))))))</f>
        <v>3</v>
      </c>
    </row>
    <row r="15" customFormat="false" ht="15" hidden="false" customHeight="false" outlineLevel="0" collapsed="false">
      <c r="A15" s="6" t="s">
        <v>27</v>
      </c>
      <c r="B15" s="6" t="s">
        <v>103</v>
      </c>
      <c r="C15" s="6" t="s">
        <v>104</v>
      </c>
      <c r="D15" s="6" t="s">
        <v>105</v>
      </c>
      <c r="E15" s="6" t="s">
        <v>106</v>
      </c>
      <c r="F15" s="6" t="s">
        <v>107</v>
      </c>
      <c r="G15" s="6" t="s">
        <v>108</v>
      </c>
      <c r="H15" s="6" t="s">
        <v>109</v>
      </c>
      <c r="I15" s="6" t="s">
        <v>110</v>
      </c>
      <c r="J15" s="6" t="s">
        <v>111</v>
      </c>
      <c r="K15" s="6" t="s">
        <v>112</v>
      </c>
      <c r="L15" s="6" t="s">
        <v>113</v>
      </c>
    </row>
    <row r="16" customFormat="false" ht="15" hidden="false" customHeight="false" outlineLevel="0" collapsed="false">
      <c r="A16" s="0" t="n">
        <v>1</v>
      </c>
      <c r="B16" s="22" t="n">
        <f aca="false">IF(Inputs!B22=0,1,1/(1+EXP(-Inputs!B22*(A16-Inputs!B21))))</f>
        <v>0.5</v>
      </c>
      <c r="C16" s="32" t="n">
        <f aca="false">IF(A16-Inputs!B23&lt;1,0,$B$9*IF(Inputs!B22=0,1,1/(1+EXP(-Inputs!B22*(A16-Inputs!B23-Inputs!B21)))))</f>
        <v>0.6</v>
      </c>
      <c r="D16" s="32" t="n">
        <f aca="true">Inputs!B19*(1-$B$5)+IF(A16-Inputs!B17&lt;1,0,OFFSET(C16,-Inputs!B17,0)*(1-$B$5)^Inputs!B17)</f>
        <v>5.58</v>
      </c>
      <c r="E16" s="15" t="n">
        <f aca="false">IF(D16&gt;0,F16/D16,0)</f>
        <v>149</v>
      </c>
      <c r="F16" s="15" t="n">
        <f aca="true">Inputs!B20*(1-$B$5)*(1+$B$6)+IF(A16-Inputs!B17&lt;1,0,OFFSET(C16,-Inputs!B17,0)*(1-$B$5)^Inputs!B17)*$B$3</f>
        <v>831.42</v>
      </c>
      <c r="G16" s="15" t="n">
        <f aca="false">F16*$B$4</f>
        <v>581.994</v>
      </c>
      <c r="H16" s="15" t="n">
        <f aca="false">$B$9*B16*$B$7</f>
        <v>60</v>
      </c>
      <c r="I16" s="15" t="n">
        <f aca="false">$B$8</f>
        <v>16364</v>
      </c>
      <c r="J16" s="15" t="n">
        <f aca="false">G16-H16-I16</f>
        <v>-15842.006</v>
      </c>
      <c r="K16" s="15" t="n">
        <f aca="false">J16-Inputs!B16</f>
        <v>-15842.006</v>
      </c>
      <c r="L16" s="15" t="n">
        <f aca="false">MIN(J16:J51)</f>
        <v>-15873.8273035564</v>
      </c>
    </row>
    <row r="17" customFormat="false" ht="15" hidden="false" customHeight="false" outlineLevel="0" collapsed="false">
      <c r="A17" s="0" t="n">
        <v>2</v>
      </c>
      <c r="B17" s="22" t="n">
        <f aca="false">IF(Inputs!B22=0,1,1/(1+EXP(-Inputs!B22*(A17-Inputs!B21))))</f>
        <v>0.731058578630005</v>
      </c>
      <c r="C17" s="32" t="n">
        <f aca="false">IF(A17-Inputs!B23&lt;1,0,$B$9*IF(Inputs!B22=0,1,1/(1+EXP(-Inputs!B22*(A17-Inputs!B23-Inputs!B21)))))</f>
        <v>0.877270294356006</v>
      </c>
      <c r="D17" s="32" t="n">
        <f aca="true">D16*(1-$B$5)+IF(A17-Inputs!B17&lt;1,0,OFFSET(C17,-Inputs!B17,0)*(1-$B$5)^Inputs!B17)</f>
        <v>5.7474</v>
      </c>
      <c r="E17" s="15" t="n">
        <f aca="false">IF(D17&gt;0,F17/D17,0)</f>
        <v>144.145631067961</v>
      </c>
      <c r="F17" s="15" t="n">
        <f aca="true">F16*(1-$B$5)*(1+$B$6)+IF(A17-Inputs!B17&lt;1,0,OFFSET(C17,-Inputs!B17,0)*(1-$B$5)^Inputs!B17)*$B$3</f>
        <v>828.4626</v>
      </c>
      <c r="G17" s="15" t="n">
        <f aca="false">F17*$B$4</f>
        <v>579.92382</v>
      </c>
      <c r="H17" s="15" t="n">
        <f aca="false">$B$9*B17*$B$7</f>
        <v>87.7270294356006</v>
      </c>
      <c r="I17" s="15" t="n">
        <f aca="false">$B$8</f>
        <v>16364</v>
      </c>
      <c r="J17" s="15" t="n">
        <f aca="false">G17-H17-I17</f>
        <v>-15871.8032094356</v>
      </c>
      <c r="K17" s="15" t="n">
        <f aca="false">K16+J17</f>
        <v>-31713.8092094356</v>
      </c>
      <c r="L17" s="15" t="n">
        <f aca="false">MIN(J17:J51)</f>
        <v>-15873.8273035564</v>
      </c>
    </row>
    <row r="18" customFormat="false" ht="15" hidden="false" customHeight="false" outlineLevel="0" collapsed="false">
      <c r="A18" s="0" t="n">
        <v>3</v>
      </c>
      <c r="B18" s="22" t="n">
        <f aca="false">IF(Inputs!B22=0,1,1/(1+EXP(-Inputs!B22*(A18-Inputs!B21))))</f>
        <v>0.880797077977882</v>
      </c>
      <c r="C18" s="32" t="n">
        <f aca="false">IF(A18-Inputs!B23&lt;1,0,$B$9*IF(Inputs!B22=0,1,1/(1+EXP(-Inputs!B22*(A18-Inputs!B23-Inputs!B21)))))</f>
        <v>1.05695649357346</v>
      </c>
      <c r="D18" s="32" t="n">
        <f aca="true">D17*(1-$B$5)+IF(A18-Inputs!B17&lt;1,0,OFFSET(C18,-Inputs!B17,0)*(1-$B$5)^Inputs!B17)</f>
        <v>6.16094337375109</v>
      </c>
      <c r="E18" s="15" t="n">
        <f aca="false">IF(D18&gt;0,F18/D18,0)</f>
        <v>138.167232250194</v>
      </c>
      <c r="F18" s="15" t="n">
        <f aca="true">F17*(1-$B$5)*(1+$B$6)+IF(A18-Inputs!B17&lt;1,0,OFFSET(C18,-Inputs!B17,0)*(1-$B$5)^Inputs!B17)*$B$3</f>
        <v>851.240494001357</v>
      </c>
      <c r="G18" s="15" t="n">
        <f aca="false">F18*$B$4</f>
        <v>595.86834580095</v>
      </c>
      <c r="H18" s="15" t="n">
        <f aca="false">$B$9*B18*$B$7</f>
        <v>105.695649357346</v>
      </c>
      <c r="I18" s="15" t="n">
        <f aca="false">$B$8</f>
        <v>16364</v>
      </c>
      <c r="J18" s="15" t="n">
        <f aca="false">G18-H18-I18</f>
        <v>-15873.8273035564</v>
      </c>
      <c r="K18" s="15" t="n">
        <f aca="false">K17+J18</f>
        <v>-47587.636512992</v>
      </c>
      <c r="L18" s="15" t="n">
        <f aca="false">MIN(J18:J51)</f>
        <v>-15873.8273035564</v>
      </c>
    </row>
    <row r="19" customFormat="false" ht="15" hidden="false" customHeight="false" outlineLevel="0" collapsed="false">
      <c r="A19" s="0" t="n">
        <v>4</v>
      </c>
      <c r="B19" s="22" t="n">
        <f aca="false">IF(Inputs!B22=0,1,1/(1+EXP(-Inputs!B22*(A19-Inputs!B21))))</f>
        <v>0.952574126822433</v>
      </c>
      <c r="C19" s="32" t="n">
        <f aca="false">IF(A19-Inputs!B23&lt;1,0,$B$9*IF(Inputs!B22=0,1,1/(1+EXP(-Inputs!B22*(A19-Inputs!B23-Inputs!B21)))))</f>
        <v>1.14308895218692</v>
      </c>
      <c r="D19" s="32" t="n">
        <f aca="true">D18*(1-$B$5)+IF(A19-Inputs!B17&lt;1,0,OFFSET(C19,-Inputs!B17,0)*(1-$B$5)^Inputs!B17)</f>
        <v>6.71264687661183</v>
      </c>
      <c r="E19" s="15" t="n">
        <f aca="false">IF(D19&gt;0,F19/D19,0)</f>
        <v>132.431760544698</v>
      </c>
      <c r="F19" s="15" t="n">
        <f aca="true">F18*(1-$B$5)*(1+$B$6)+IF(A19-Inputs!B17&lt;1,0,OFFSET(C19,-Inputs!B17,0)*(1-$B$5)^Inputs!B17)*$B$3</f>
        <v>888.967643784571</v>
      </c>
      <c r="G19" s="15" t="n">
        <f aca="false">F19*$B$4</f>
        <v>622.277350649199</v>
      </c>
      <c r="H19" s="15" t="n">
        <f aca="false">$B$9*B19*$B$7</f>
        <v>114.308895218692</v>
      </c>
      <c r="I19" s="15" t="n">
        <f aca="false">$B$8</f>
        <v>16364</v>
      </c>
      <c r="J19" s="15" t="n">
        <f aca="false">G19-H19-I19</f>
        <v>-15856.0315445695</v>
      </c>
      <c r="K19" s="15" t="n">
        <f aca="false">K18+J19</f>
        <v>-63443.6680575615</v>
      </c>
      <c r="L19" s="15" t="n">
        <f aca="false">MIN(J19:J51)</f>
        <v>-15856.0315445695</v>
      </c>
    </row>
    <row r="20" customFormat="false" ht="15" hidden="false" customHeight="false" outlineLevel="0" collapsed="false">
      <c r="A20" s="0" t="n">
        <v>5</v>
      </c>
      <c r="B20" s="22" t="n">
        <f aca="false">IF(Inputs!B22=0,1,1/(1+EXP(-Inputs!B22*(A20-Inputs!B21))))</f>
        <v>0.982013790037909</v>
      </c>
      <c r="C20" s="32" t="n">
        <f aca="false">IF(A20-Inputs!B23&lt;1,0,$B$9*IF(Inputs!B22=0,1,1/(1+EXP(-Inputs!B22*(A20-Inputs!B23-Inputs!B21)))))</f>
        <v>1.17841654804549</v>
      </c>
      <c r="D20" s="32" t="n">
        <f aca="true">D19*(1-$B$5)+IF(A20-Inputs!B17&lt;1,0,OFFSET(C20,-Inputs!B17,0)*(1-$B$5)^Inputs!B17)</f>
        <v>7.30583432078283</v>
      </c>
      <c r="E20" s="15" t="n">
        <f aca="false">IF(D20&gt;0,F20/D20,0)</f>
        <v>127.567101528198</v>
      </c>
      <c r="F20" s="15" t="n">
        <f aca="true">F19*(1-$B$5)*(1+$B$6)+IF(A20-Inputs!B17&lt;1,0,OFFSET(C20,-Inputs!B17,0)*(1-$B$5)^Inputs!B17)*$B$3</f>
        <v>931.9841085475</v>
      </c>
      <c r="G20" s="15" t="n">
        <f aca="false">F20*$B$4</f>
        <v>652.38887598325</v>
      </c>
      <c r="H20" s="15" t="n">
        <f aca="false">$B$9*B20*$B$7</f>
        <v>117.841654804549</v>
      </c>
      <c r="I20" s="15" t="n">
        <f aca="false">$B$8</f>
        <v>16364</v>
      </c>
      <c r="J20" s="15" t="n">
        <f aca="false">G20-H20-I20</f>
        <v>-15829.4527788213</v>
      </c>
      <c r="K20" s="15" t="n">
        <f aca="false">K19+J20</f>
        <v>-79273.1208363828</v>
      </c>
      <c r="L20" s="15" t="n">
        <f aca="false">MIN(J20:J51)</f>
        <v>-15829.4527788213</v>
      </c>
    </row>
    <row r="21" customFormat="false" ht="15" hidden="false" customHeight="false" outlineLevel="0" collapsed="false">
      <c r="A21" s="0" t="n">
        <v>6</v>
      </c>
      <c r="B21" s="22" t="n">
        <f aca="false">IF(Inputs!B22=0,1,1/(1+EXP(-Inputs!B22*(A21-Inputs!B21))))</f>
        <v>0.993307149075715</v>
      </c>
      <c r="C21" s="32" t="n">
        <f aca="false">IF(A21-Inputs!B23&lt;1,0,$B$9*IF(Inputs!B22=0,1,1/(1+EXP(-Inputs!B22*(A21-Inputs!B23-Inputs!B21)))))</f>
        <v>1.19196857889086</v>
      </c>
      <c r="D21" s="32" t="n">
        <f aca="true">D20*(1-$B$5)+IF(A21-Inputs!B17&lt;1,0,OFFSET(C21,-Inputs!B17,0)*(1-$B$5)^Inputs!B17)</f>
        <v>7.89035330801034</v>
      </c>
      <c r="E21" s="15" t="n">
        <f aca="false">IF(D21&gt;0,F21/D21,0)</f>
        <v>123.59928566667</v>
      </c>
      <c r="F21" s="15" t="n">
        <f aca="true">F20*(1-$B$5)*(1+$B$6)+IF(A21-Inputs!B17&lt;1,0,OFFSET(C21,-Inputs!B17,0)*(1-$B$5)^Inputs!B17)*$B$3</f>
        <v>975.242032527724</v>
      </c>
      <c r="G21" s="15" t="n">
        <f aca="false">F21*$B$4</f>
        <v>682.669422769407</v>
      </c>
      <c r="H21" s="15" t="n">
        <f aca="false">$B$9*B21*$B$7</f>
        <v>119.196857889086</v>
      </c>
      <c r="I21" s="15" t="n">
        <f aca="false">$B$8</f>
        <v>16364</v>
      </c>
      <c r="J21" s="15" t="n">
        <f aca="false">G21-H21-I21</f>
        <v>-15800.5274351197</v>
      </c>
      <c r="K21" s="15" t="n">
        <f aca="false">K20+J21</f>
        <v>-95073.6482715025</v>
      </c>
      <c r="L21" s="15" t="n">
        <f aca="false">MIN(J21:J51)</f>
        <v>-15800.5274351197</v>
      </c>
    </row>
    <row r="22" customFormat="false" ht="15" hidden="false" customHeight="false" outlineLevel="0" collapsed="false">
      <c r="A22" s="0" t="n">
        <v>7</v>
      </c>
      <c r="B22" s="22" t="n">
        <f aca="false">IF(Inputs!B22=0,1,1/(1+EXP(-Inputs!B22*(A22-Inputs!B21))))</f>
        <v>0.997527376843365</v>
      </c>
      <c r="C22" s="32" t="n">
        <f aca="false">IF(A22-Inputs!B23&lt;1,0,$B$9*IF(Inputs!B22=0,1,1/(1+EXP(-Inputs!B22*(A22-Inputs!B23-Inputs!B21)))))</f>
        <v>1.19703285221204</v>
      </c>
      <c r="D22" s="32" t="n">
        <f aca="true">D21*(1-$B$5)+IF(A22-Inputs!B17&lt;1,0,OFFSET(C22,-Inputs!B17,0)*(1-$B$5)^Inputs!B17)</f>
        <v>8.44655935481811</v>
      </c>
      <c r="E22" s="15" t="n">
        <f aca="false">IF(D22&gt;0,F22/D22,0)</f>
        <v>120.370862809281</v>
      </c>
      <c r="F22" s="15" t="n">
        <f aca="true">F21*(1-$B$5)*(1+$B$6)+IF(A22-Inputs!B17&lt;1,0,OFFSET(C22,-Inputs!B17,0)*(1-$B$5)^Inputs!B17)*$B$3</f>
        <v>1016.71963730926</v>
      </c>
      <c r="G22" s="15" t="n">
        <f aca="false">F22*$B$4</f>
        <v>711.703746116485</v>
      </c>
      <c r="H22" s="15" t="n">
        <f aca="false">$B$9*B22*$B$7</f>
        <v>119.703285221204</v>
      </c>
      <c r="I22" s="15" t="n">
        <f aca="false">$B$8</f>
        <v>16364</v>
      </c>
      <c r="J22" s="15" t="n">
        <f aca="false">G22-H22-I22</f>
        <v>-15771.9995391047</v>
      </c>
      <c r="K22" s="15" t="n">
        <f aca="false">K21+J22</f>
        <v>-110845.647810607</v>
      </c>
      <c r="L22" s="15" t="n">
        <f aca="false">MIN(J22:J51)</f>
        <v>-15771.9995391047</v>
      </c>
    </row>
    <row r="23" customFormat="false" ht="15" hidden="false" customHeight="false" outlineLevel="0" collapsed="false">
      <c r="A23" s="0" t="n">
        <v>8</v>
      </c>
      <c r="B23" s="22" t="n">
        <f aca="false">IF(Inputs!B22=0,1,1/(1+EXP(-Inputs!B22*(A23-Inputs!B21))))</f>
        <v>0.999088948805599</v>
      </c>
      <c r="C23" s="32" t="n">
        <f aca="false">IF(A23-Inputs!B23&lt;1,0,$B$9*IF(Inputs!B22=0,1,1/(1+EXP(-Inputs!B22*(A23-Inputs!B23-Inputs!B21)))))</f>
        <v>1.19890673856672</v>
      </c>
      <c r="D23" s="32" t="n">
        <f aca="true">D22*(1-$B$5)+IF(A23-Inputs!B17&lt;1,0,OFFSET(C23,-Inputs!B17,0)*(1-$B$5)^Inputs!B17)</f>
        <v>8.96854075253804</v>
      </c>
      <c r="E23" s="15" t="n">
        <f aca="false">IF(D23&gt;0,F23/D23,0)</f>
        <v>117.718155777126</v>
      </c>
      <c r="F23" s="15" t="n">
        <f aca="true">F22*(1-$B$5)*(1+$B$6)+IF(A23-Inputs!B17&lt;1,0,OFFSET(C23,-Inputs!B17,0)*(1-$B$5)^Inputs!B17)*$B$3</f>
        <v>1055.76007740078</v>
      </c>
      <c r="G23" s="15" t="n">
        <f aca="false">F23*$B$4</f>
        <v>739.032054180545</v>
      </c>
      <c r="H23" s="15" t="n">
        <f aca="false">$B$9*B23*$B$7</f>
        <v>119.890673856672</v>
      </c>
      <c r="I23" s="15" t="n">
        <f aca="false">$B$8</f>
        <v>16364</v>
      </c>
      <c r="J23" s="15" t="n">
        <f aca="false">G23-H23-I23</f>
        <v>-15744.8586196761</v>
      </c>
      <c r="K23" s="15" t="n">
        <f aca="false">K22+J23</f>
        <v>-126590.506430283</v>
      </c>
      <c r="L23" s="15" t="n">
        <f aca="false">MIN(J23:J51)</f>
        <v>-15744.8586196761</v>
      </c>
    </row>
    <row r="24" customFormat="false" ht="15" hidden="false" customHeight="false" outlineLevel="0" collapsed="false">
      <c r="A24" s="0" t="n">
        <v>9</v>
      </c>
      <c r="B24" s="22" t="n">
        <f aca="false">IF(Inputs!B22=0,1,1/(1+EXP(-Inputs!B22*(A24-Inputs!B21))))</f>
        <v>0.999664649869534</v>
      </c>
      <c r="C24" s="32" t="n">
        <f aca="false">IF(A24-Inputs!B23&lt;1,0,$B$9*IF(Inputs!B22=0,1,1/(1+EXP(-Inputs!B22*(A24-Inputs!B23-Inputs!B21)))))</f>
        <v>1.19959757984344</v>
      </c>
      <c r="D24" s="32" t="n">
        <f aca="true">D23*(1-$B$5)+IF(A24-Inputs!B17&lt;1,0,OFFSET(C24,-Inputs!B17,0)*(1-$B$5)^Inputs!B17)</f>
        <v>9.45572616672743</v>
      </c>
      <c r="E24" s="15" t="n">
        <f aca="false">IF(D24&gt;0,F24/D24,0)</f>
        <v>115.510982038155</v>
      </c>
      <c r="F24" s="15" t="n">
        <f aca="true">F23*(1-$B$5)*(1+$B$6)+IF(A24-Inputs!B17&lt;1,0,OFFSET(C24,-Inputs!B17,0)*(1-$B$5)^Inputs!B17)*$B$3</f>
        <v>1092.24021540256</v>
      </c>
      <c r="G24" s="15" t="n">
        <f aca="false">F24*$B$4</f>
        <v>764.568150781793</v>
      </c>
      <c r="H24" s="15" t="n">
        <f aca="false">$B$9*B24*$B$7</f>
        <v>119.959757984344</v>
      </c>
      <c r="I24" s="15" t="n">
        <f aca="false">$B$8</f>
        <v>16364</v>
      </c>
      <c r="J24" s="15" t="n">
        <f aca="false">G24-H24-I24</f>
        <v>-15719.3916072026</v>
      </c>
      <c r="K24" s="15" t="n">
        <f aca="false">K23+J24</f>
        <v>-142309.898037486</v>
      </c>
      <c r="L24" s="15" t="n">
        <f aca="false">MIN(J24:J51)</f>
        <v>-15719.3916072026</v>
      </c>
    </row>
    <row r="25" customFormat="false" ht="15" hidden="false" customHeight="false" outlineLevel="0" collapsed="false">
      <c r="A25" s="0" t="n">
        <v>10</v>
      </c>
      <c r="B25" s="22" t="n">
        <f aca="false">IF(Inputs!B22=0,1,1/(1+EXP(-Inputs!B22*(A25-Inputs!B21))))</f>
        <v>0.999876605424014</v>
      </c>
      <c r="C25" s="32" t="n">
        <f aca="false">IF(A25-Inputs!B23&lt;1,0,$B$9*IF(Inputs!B22=0,1,1/(1+EXP(-Inputs!B22*(A25-Inputs!B23-Inputs!B21)))))</f>
        <v>1.19985192650882</v>
      </c>
      <c r="D25" s="32" t="n">
        <f aca="true">D24*(1-$B$5)+IF(A25-Inputs!B17&lt;1,0,OFFSET(C25,-Inputs!B17,0)*(1-$B$5)^Inputs!B17)</f>
        <v>9.90945108431091</v>
      </c>
      <c r="E25" s="15" t="n">
        <f aca="false">IF(D25&gt;0,F25/D25,0)</f>
        <v>113.652142779499</v>
      </c>
      <c r="F25" s="15" t="n">
        <f aca="true">F24*(1-$B$5)*(1+$B$6)+IF(A25-Inputs!B17&lt;1,0,OFFSET(C25,-Inputs!B17,0)*(1-$B$5)^Inputs!B17)*$B$3</f>
        <v>1126.23034950057</v>
      </c>
      <c r="G25" s="15" t="n">
        <f aca="false">F25*$B$4</f>
        <v>788.361244650397</v>
      </c>
      <c r="H25" s="15" t="n">
        <f aca="false">$B$9*B25*$B$7</f>
        <v>119.985192650882</v>
      </c>
      <c r="I25" s="15" t="n">
        <f aca="false">$B$8</f>
        <v>16364</v>
      </c>
      <c r="J25" s="15" t="n">
        <f aca="false">G25-H25-I25</f>
        <v>-15695.6239480005</v>
      </c>
      <c r="K25" s="15" t="n">
        <f aca="false">K24+J25</f>
        <v>-158005.521985486</v>
      </c>
      <c r="L25" s="15" t="n">
        <f aca="false">MIN(J25:J51)</f>
        <v>-15695.6239480005</v>
      </c>
    </row>
    <row r="26" customFormat="false" ht="15" hidden="false" customHeight="false" outlineLevel="0" collapsed="false">
      <c r="A26" s="0" t="n">
        <v>11</v>
      </c>
      <c r="B26" s="22" t="n">
        <f aca="false">IF(Inputs!B22=0,1,1/(1+EXP(-Inputs!B22*(A26-Inputs!B21))))</f>
        <v>0.999954602131298</v>
      </c>
      <c r="C26" s="32" t="n">
        <f aca="false">IF(A26-Inputs!B23&lt;1,0,$B$9*IF(Inputs!B22=0,1,1/(1+EXP(-Inputs!B22*(A26-Inputs!B23-Inputs!B21)))))</f>
        <v>1.19994552255756</v>
      </c>
      <c r="D26" s="32" t="n">
        <f aca="true">D25*(1-$B$5)+IF(A26-Inputs!B17&lt;1,0,OFFSET(C26,-Inputs!B17,0)*(1-$B$5)^Inputs!B17)</f>
        <v>10.3316518000623</v>
      </c>
      <c r="E26" s="15" t="n">
        <f aca="false">IF(D26&gt;0,F26/D26,0)</f>
        <v>112.069649105113</v>
      </c>
      <c r="F26" s="15" t="n">
        <f aca="true">F25*(1-$B$5)*(1+$B$6)+IF(A26-Inputs!B17&lt;1,0,OFFSET(C26,-Inputs!B17,0)*(1-$B$5)^Inputs!B17)*$B$3</f>
        <v>1157.86459190919</v>
      </c>
      <c r="G26" s="15" t="n">
        <f aca="false">F26*$B$4</f>
        <v>810.505214336436</v>
      </c>
      <c r="H26" s="15" t="n">
        <f aca="false">$B$9*B26*$B$7</f>
        <v>119.994552255756</v>
      </c>
      <c r="I26" s="15" t="n">
        <f aca="false">$B$8</f>
        <v>16364</v>
      </c>
      <c r="J26" s="15" t="n">
        <f aca="false">G26-H26-I26</f>
        <v>-15673.4893379193</v>
      </c>
      <c r="K26" s="15" t="n">
        <f aca="false">K25+J26</f>
        <v>-173679.011323406</v>
      </c>
      <c r="L26" s="15" t="n">
        <f aca="false">MIN(J26:J51)</f>
        <v>-15673.4893379193</v>
      </c>
    </row>
    <row r="27" customFormat="false" ht="15" hidden="false" customHeight="false" outlineLevel="0" collapsed="false">
      <c r="A27" s="0" t="n">
        <v>12</v>
      </c>
      <c r="B27" s="22" t="n">
        <f aca="false">IF(Inputs!B22=0,1,1/(1+EXP(-Inputs!B22*(A27-Inputs!B21))))</f>
        <v>0.999983298578152</v>
      </c>
      <c r="C27" s="32" t="n">
        <f aca="false">IF(A27-Inputs!B23&lt;1,0,$B$9*IF(Inputs!B22=0,1,1/(1+EXP(-Inputs!B22*(A27-Inputs!B23-Inputs!B21)))))</f>
        <v>1.19997995829378</v>
      </c>
      <c r="D27" s="32" t="n">
        <f aca="true">D26*(1-$B$5)+IF(A27-Inputs!B17&lt;1,0,OFFSET(C27,-Inputs!B17,0)*(1-$B$5)^Inputs!B17)</f>
        <v>10.7243855100365</v>
      </c>
      <c r="E27" s="15" t="n">
        <f aca="false">IF(D27&gt;0,F27/D27,0)</f>
        <v>110.709658248138</v>
      </c>
      <c r="F27" s="15" t="n">
        <f aca="true">F26*(1-$B$5)*(1+$B$6)+IF(A27-Inputs!B17&lt;1,0,OFFSET(C27,-Inputs!B17,0)*(1-$B$5)^Inputs!B17)*$B$3</f>
        <v>1187.29305473742</v>
      </c>
      <c r="G27" s="15" t="n">
        <f aca="false">F27*$B$4</f>
        <v>831.105138316197</v>
      </c>
      <c r="H27" s="15" t="n">
        <f aca="false">$B$9*B27*$B$7</f>
        <v>119.997995829378</v>
      </c>
      <c r="I27" s="15" t="n">
        <f aca="false">$B$8</f>
        <v>16364</v>
      </c>
      <c r="J27" s="15" t="n">
        <f aca="false">G27-H27-I27</f>
        <v>-15652.8928575132</v>
      </c>
      <c r="K27" s="15" t="n">
        <f aca="false">K26+J27</f>
        <v>-189331.904180919</v>
      </c>
      <c r="L27" s="15" t="n">
        <f aca="false">MIN(J27:J51)</f>
        <v>-15652.8928575132</v>
      </c>
    </row>
    <row r="28" customFormat="false" ht="15" hidden="false" customHeight="false" outlineLevel="0" collapsed="false">
      <c r="A28" s="0" t="n">
        <v>13</v>
      </c>
      <c r="B28" s="22" t="n">
        <f aca="false">IF(Inputs!B22=0,1,1/(1+EXP(-Inputs!B22*(A28-Inputs!B21))))</f>
        <v>0.999993855825398</v>
      </c>
      <c r="C28" s="32" t="n">
        <f aca="false">IF(A28-Inputs!B23&lt;1,0,$B$9*IF(Inputs!B22=0,1,1/(1+EXP(-Inputs!B22*(A28-Inputs!B23-Inputs!B21)))))</f>
        <v>1.19999262699048</v>
      </c>
      <c r="D28" s="32" t="n">
        <f aca="true">D27*(1-$B$5)+IF(A28-Inputs!B17&lt;1,0,OFFSET(C28,-Inputs!B17,0)*(1-$B$5)^Inputs!B17)</f>
        <v>11.0896598855472</v>
      </c>
      <c r="E28" s="15" t="n">
        <f aca="false">IF(D28&gt;0,F28/D28,0)</f>
        <v>109.531284836693</v>
      </c>
      <c r="F28" s="15" t="n">
        <f aca="true">F27*(1-$B$5)*(1+$B$6)+IF(A28-Inputs!B17&lt;1,0,OFFSET(C28,-Inputs!B17,0)*(1-$B$5)^Inputs!B17)*$B$3</f>
        <v>1214.66469566591</v>
      </c>
      <c r="G28" s="15" t="n">
        <f aca="false">F28*$B$4</f>
        <v>850.26528696614</v>
      </c>
      <c r="H28" s="15" t="n">
        <f aca="false">$B$9*B28*$B$7</f>
        <v>119.999262699048</v>
      </c>
      <c r="I28" s="15" t="n">
        <f aca="false">$B$8</f>
        <v>16364</v>
      </c>
      <c r="J28" s="15" t="n">
        <f aca="false">G28-H28-I28</f>
        <v>-15633.7339757329</v>
      </c>
      <c r="K28" s="15" t="n">
        <f aca="false">K27+J28</f>
        <v>-204965.638156652</v>
      </c>
      <c r="L28" s="15" t="n">
        <f aca="false">MIN(J28:J51)</f>
        <v>-15633.7339757329</v>
      </c>
    </row>
    <row r="29" customFormat="false" ht="15" hidden="false" customHeight="false" outlineLevel="0" collapsed="false">
      <c r="A29" s="0" t="n">
        <v>14</v>
      </c>
      <c r="B29" s="22" t="n">
        <f aca="false">IF(Inputs!B22=0,1,1/(1+EXP(-Inputs!B22*(A29-Inputs!B21))))</f>
        <v>0.999997739675702</v>
      </c>
      <c r="C29" s="32" t="n">
        <f aca="false">IF(A29-Inputs!B23&lt;1,0,$B$9*IF(Inputs!B22=0,1,1/(1+EXP(-Inputs!B22*(A29-Inputs!B23-Inputs!B21)))))</f>
        <v>1.19999728761084</v>
      </c>
      <c r="D29" s="32" t="n">
        <f aca="true">D28*(1-$B$5)+IF(A29-Inputs!B17&lt;1,0,OFFSET(C29,-Inputs!B17,0)*(1-$B$5)^Inputs!B17)</f>
        <v>11.42937683666</v>
      </c>
      <c r="E29" s="15" t="n">
        <f aca="false">IF(D29&gt;0,F29/D29,0)</f>
        <v>108.502983658618</v>
      </c>
      <c r="F29" s="15" t="n">
        <f aca="true">F28*(1-$B$5)*(1+$B$6)+IF(A29-Inputs!B17&lt;1,0,OFFSET(C29,-Inputs!B17,0)*(1-$B$5)^Inputs!B17)*$B$3</f>
        <v>1240.12148813631</v>
      </c>
      <c r="G29" s="15" t="n">
        <f aca="false">F29*$B$4</f>
        <v>868.085041695419</v>
      </c>
      <c r="H29" s="15" t="n">
        <f aca="false">$B$9*B29*$B$7</f>
        <v>119.999728761084</v>
      </c>
      <c r="I29" s="15" t="n">
        <f aca="false">$B$8</f>
        <v>16364</v>
      </c>
      <c r="J29" s="15" t="n">
        <f aca="false">G29-H29-I29</f>
        <v>-15615.9146870657</v>
      </c>
      <c r="K29" s="15" t="n">
        <f aca="false">K28+J29</f>
        <v>-220581.552843717</v>
      </c>
      <c r="L29" s="15" t="n">
        <f aca="false">MIN(J29:J51)</f>
        <v>-15615.9146870657</v>
      </c>
    </row>
    <row r="30" customFormat="false" ht="15" hidden="false" customHeight="false" outlineLevel="0" collapsed="false">
      <c r="A30" s="0" t="n">
        <v>15</v>
      </c>
      <c r="B30" s="22" t="n">
        <f aca="false">IF(Inputs!B22=0,1,1/(1+EXP(-Inputs!B22*(A30-Inputs!B21))))</f>
        <v>0.999999168471972</v>
      </c>
      <c r="C30" s="32" t="n">
        <f aca="false">IF(A30-Inputs!B23&lt;1,0,$B$9*IF(Inputs!B22=0,1,1/(1+EXP(-Inputs!B22*(A30-Inputs!B23-Inputs!B21)))))</f>
        <v>1.19999900216637</v>
      </c>
      <c r="D30" s="32" t="n">
        <f aca="true">D29*(1-$B$5)+IF(A30-Inputs!B17&lt;1,0,OFFSET(C30,-Inputs!B17,0)*(1-$B$5)^Inputs!B17)</f>
        <v>11.7453179355719</v>
      </c>
      <c r="E30" s="15" t="n">
        <f aca="false">IF(D30&gt;0,F30/D30,0)</f>
        <v>107.600044644987</v>
      </c>
      <c r="F30" s="15" t="n">
        <f aca="true">F29*(1-$B$5)*(1+$B$6)+IF(A30-Inputs!B17&lt;1,0,OFFSET(C30,-Inputs!B17,0)*(1-$B$5)^Inputs!B17)*$B$3</f>
        <v>1263.7967342371</v>
      </c>
      <c r="G30" s="15" t="n">
        <f aca="false">F30*$B$4</f>
        <v>884.657713965971</v>
      </c>
      <c r="H30" s="15" t="n">
        <f aca="false">$B$9*B30*$B$7</f>
        <v>119.999900216637</v>
      </c>
      <c r="I30" s="15" t="n">
        <f aca="false">$B$8</f>
        <v>16364</v>
      </c>
      <c r="J30" s="15" t="n">
        <f aca="false">G30-H30-I30</f>
        <v>-15599.3421862507</v>
      </c>
      <c r="K30" s="15" t="n">
        <f aca="false">K29+J30</f>
        <v>-236180.895029968</v>
      </c>
      <c r="L30" s="15" t="n">
        <f aca="false">MIN(J30:J51)</f>
        <v>-15599.3421862507</v>
      </c>
    </row>
    <row r="31" customFormat="false" ht="15" hidden="false" customHeight="false" outlineLevel="0" collapsed="false">
      <c r="A31" s="0" t="n">
        <v>16</v>
      </c>
      <c r="B31" s="22" t="n">
        <f aca="false">IF(Inputs!B22=0,1,1/(1+EXP(-Inputs!B22*(A31-Inputs!B21))))</f>
        <v>0.999999694097773</v>
      </c>
      <c r="C31" s="32" t="n">
        <f aca="false">IF(A31-Inputs!B23&lt;1,0,$B$9*IF(Inputs!B22=0,1,1/(1+EXP(-Inputs!B22*(A31-Inputs!B23-Inputs!B21)))))</f>
        <v>1.19999963291733</v>
      </c>
      <c r="D31" s="32" t="n">
        <f aca="true">D30*(1-$B$5)+IF(A31-Inputs!B17&lt;1,0,OFFSET(C31,-Inputs!B17,0)*(1-$B$5)^Inputs!B17)</f>
        <v>12.0391447520966</v>
      </c>
      <c r="E31" s="15" t="n">
        <f aca="false">IF(D31&gt;0,F31/D31,0)</f>
        <v>106.802841684086</v>
      </c>
      <c r="F31" s="15" t="n">
        <f aca="true">F30*(1-$B$5)*(1+$B$6)+IF(A31-Inputs!B17&lt;1,0,OFFSET(C31,-Inputs!B17,0)*(1-$B$5)^Inputs!B17)*$B$3</f>
        <v>1285.81487096996</v>
      </c>
      <c r="G31" s="15" t="n">
        <f aca="false">F31*$B$4</f>
        <v>900.070409678973</v>
      </c>
      <c r="H31" s="15" t="n">
        <f aca="false">$B$9*B31*$B$7</f>
        <v>119.999963291733</v>
      </c>
      <c r="I31" s="15" t="n">
        <f aca="false">$B$8</f>
        <v>16364</v>
      </c>
      <c r="J31" s="15" t="n">
        <f aca="false">G31-H31-I31</f>
        <v>-15583.9295536128</v>
      </c>
      <c r="K31" s="15" t="n">
        <f aca="false">K30+J31</f>
        <v>-251764.824583581</v>
      </c>
      <c r="L31" s="15" t="n">
        <f aca="false">MIN(J31:J51)</f>
        <v>-15583.9295536128</v>
      </c>
    </row>
    <row r="32" customFormat="false" ht="15" hidden="false" customHeight="false" outlineLevel="0" collapsed="false">
      <c r="A32" s="0" t="n">
        <v>17</v>
      </c>
      <c r="B32" s="22" t="n">
        <f aca="false">IF(Inputs!B22=0,1,1/(1+EXP(-Inputs!B22*(A32-Inputs!B21))))</f>
        <v>0.999999887464838</v>
      </c>
      <c r="C32" s="32" t="n">
        <f aca="false">IF(A32-Inputs!B23&lt;1,0,$B$9*IF(Inputs!B22=0,1,1/(1+EXP(-Inputs!B22*(A32-Inputs!B23-Inputs!B21)))))</f>
        <v>1.19999986495781</v>
      </c>
      <c r="D32" s="32" t="n">
        <f aca="true">D31*(1-$B$5)+IF(A32-Inputs!B17&lt;1,0,OFFSET(C32,-Inputs!B17,0)*(1-$B$5)^Inputs!B17)</f>
        <v>12.3124042780629</v>
      </c>
      <c r="E32" s="15" t="n">
        <f aca="false">IF(D32&gt;0,F32/D32,0)</f>
        <v>106.095590000418</v>
      </c>
      <c r="F32" s="15" t="n">
        <f aca="true">F31*(1-$B$5)*(1+$B$6)+IF(A32-Inputs!B17&lt;1,0,OFFSET(C32,-Inputs!B17,0)*(1-$B$5)^Inputs!B17)*$B$3</f>
        <v>1306.29179620476</v>
      </c>
      <c r="G32" s="15" t="n">
        <f aca="false">F32*$B$4</f>
        <v>914.404257343334</v>
      </c>
      <c r="H32" s="15" t="n">
        <f aca="false">$B$9*B32*$B$7</f>
        <v>119.999986495781</v>
      </c>
      <c r="I32" s="15" t="n">
        <f aca="false">$B$8</f>
        <v>16364</v>
      </c>
      <c r="J32" s="15" t="n">
        <f aca="false">G32-H32-I32</f>
        <v>-15569.5957291524</v>
      </c>
      <c r="K32" s="15" t="n">
        <f aca="false">K31+J32</f>
        <v>-267334.420312733</v>
      </c>
      <c r="L32" s="15" t="n">
        <f aca="false">MIN(J32:J51)</f>
        <v>-15569.5957291524</v>
      </c>
    </row>
    <row r="33" customFormat="false" ht="15" hidden="false" customHeight="false" outlineLevel="0" collapsed="false">
      <c r="A33" s="0" t="n">
        <v>18</v>
      </c>
      <c r="B33" s="22" t="n">
        <f aca="false">IF(Inputs!B22=0,1,1/(1+EXP(-Inputs!B22*(A33-Inputs!B21))))</f>
        <v>0.999999958600624</v>
      </c>
      <c r="C33" s="32" t="n">
        <f aca="false">IF(A33-Inputs!B23&lt;1,0,$B$9*IF(Inputs!B22=0,1,1/(1+EXP(-Inputs!B22*(A33-Inputs!B23-Inputs!B21)))))</f>
        <v>1.19999995032075</v>
      </c>
      <c r="D33" s="32" t="n">
        <f aca="true">D32*(1-$B$5)+IF(A33-Inputs!B17&lt;1,0,OFFSET(C33,-Inputs!B17,0)*(1-$B$5)^Inputs!B17)</f>
        <v>12.5665358530093</v>
      </c>
      <c r="E33" s="15" t="n">
        <f aca="false">IF(D33&gt;0,F33/D33,0)</f>
        <v>105.465449948939</v>
      </c>
      <c r="F33" s="15" t="n">
        <f aca="true">F32*(1-$B$5)*(1+$B$6)+IF(A33-Inputs!B17&lt;1,0,OFFSET(C33,-Inputs!B17,0)*(1-$B$5)^Inputs!B17)*$B$3</f>
        <v>1325.33535803709</v>
      </c>
      <c r="G33" s="15" t="n">
        <f aca="false">F33*$B$4</f>
        <v>927.734750625966</v>
      </c>
      <c r="H33" s="15" t="n">
        <f aca="false">$B$9*B33*$B$7</f>
        <v>119.999995032075</v>
      </c>
      <c r="I33" s="15" t="n">
        <f aca="false">$B$8</f>
        <v>16364</v>
      </c>
      <c r="J33" s="15" t="n">
        <f aca="false">G33-H33-I33</f>
        <v>-15556.2652444061</v>
      </c>
      <c r="K33" s="15" t="n">
        <f aca="false">K32+J33</f>
        <v>-282890.685557139</v>
      </c>
      <c r="L33" s="15" t="n">
        <f aca="false">MIN(J33:J51)</f>
        <v>-15556.2652444061</v>
      </c>
    </row>
    <row r="34" customFormat="false" ht="15" hidden="false" customHeight="false" outlineLevel="0" collapsed="false">
      <c r="A34" s="0" t="n">
        <v>19</v>
      </c>
      <c r="B34" s="22" t="n">
        <f aca="false">IF(Inputs!B22=0,1,1/(1+EXP(-Inputs!B22*(A34-Inputs!B21))))</f>
        <v>0.999999984770021</v>
      </c>
      <c r="C34" s="32" t="n">
        <f aca="false">IF(A34-Inputs!B23&lt;1,0,$B$9*IF(Inputs!B22=0,1,1/(1+EXP(-Inputs!B22*(A34-Inputs!B23-Inputs!B21)))))</f>
        <v>1.19999998172402</v>
      </c>
      <c r="D34" s="32" t="n">
        <f aca="true">D33*(1-$B$5)+IF(A34-Inputs!B17&lt;1,0,OFFSET(C34,-Inputs!B17,0)*(1-$B$5)^Inputs!B17)</f>
        <v>12.8028782970969</v>
      </c>
      <c r="E34" s="15" t="n">
        <f aca="false">IF(D34&gt;0,F34/D34,0)</f>
        <v>104.901870285299</v>
      </c>
      <c r="F34" s="15" t="n">
        <f aca="true">F33*(1-$B$5)*(1+$B$6)+IF(A34-Inputs!B17&lt;1,0,OFFSET(C34,-Inputs!B17,0)*(1-$B$5)^Inputs!B17)*$B$3</f>
        <v>1343.04587840053</v>
      </c>
      <c r="G34" s="15" t="n">
        <f aca="false">F34*$B$4</f>
        <v>940.13211488037</v>
      </c>
      <c r="H34" s="15" t="n">
        <f aca="false">$B$9*B34*$B$7</f>
        <v>119.999998172402</v>
      </c>
      <c r="I34" s="15" t="n">
        <f aca="false">$B$8</f>
        <v>16364</v>
      </c>
      <c r="J34" s="15" t="n">
        <f aca="false">G34-H34-I34</f>
        <v>-15543.867883292</v>
      </c>
      <c r="K34" s="15" t="n">
        <f aca="false">K33+J34</f>
        <v>-298434.553440431</v>
      </c>
      <c r="L34" s="15" t="n">
        <f aca="false">MIN(J34:J51)</f>
        <v>-15543.867883292</v>
      </c>
    </row>
    <row r="35" customFormat="false" ht="15" hidden="false" customHeight="false" outlineLevel="0" collapsed="false">
      <c r="A35" s="0" t="n">
        <v>20</v>
      </c>
      <c r="B35" s="22" t="n">
        <f aca="false">IF(Inputs!B22=0,1,1/(1+EXP(-Inputs!B22*(A35-Inputs!B21))))</f>
        <v>0.999999994397204</v>
      </c>
      <c r="C35" s="32" t="n">
        <f aca="false">IF(A35-Inputs!B23&lt;1,0,$B$9*IF(Inputs!B22=0,1,1/(1+EXP(-Inputs!B22*(A35-Inputs!B23-Inputs!B21)))))</f>
        <v>1.19999999327664</v>
      </c>
      <c r="D35" s="32" t="n">
        <f aca="true">D34*(1-$B$5)+IF(A35-Inputs!B17&lt;1,0,OFFSET(C35,-Inputs!B17,0)*(1-$B$5)^Inputs!B17)</f>
        <v>13.0226767993035</v>
      </c>
      <c r="E35" s="15" t="n">
        <f aca="false">IF(D35&gt;0,F35/D35,0)</f>
        <v>104.396099679179</v>
      </c>
      <c r="F35" s="15" t="n">
        <f aca="true">F34*(1-$B$5)*(1+$B$6)+IF(A35-Inputs!B17&lt;1,0,OFFSET(C35,-Inputs!B17,0)*(1-$B$5)^Inputs!B17)*$B$3</f>
        <v>1359.51666522982</v>
      </c>
      <c r="G35" s="15" t="n">
        <f aca="false">F35*$B$4</f>
        <v>951.661665660876</v>
      </c>
      <c r="H35" s="15" t="n">
        <f aca="false">$B$9*B35*$B$7</f>
        <v>119.999999327664</v>
      </c>
      <c r="I35" s="15" t="n">
        <f aca="false">$B$8</f>
        <v>16364</v>
      </c>
      <c r="J35" s="15" t="n">
        <f aca="false">G35-H35-I35</f>
        <v>-15532.3383336668</v>
      </c>
      <c r="K35" s="15" t="n">
        <f aca="false">K34+J35</f>
        <v>-313966.891774098</v>
      </c>
      <c r="L35" s="15" t="n">
        <f aca="false">MIN(J35:J51)</f>
        <v>-15532.3383336668</v>
      </c>
    </row>
    <row r="36" customFormat="false" ht="15" hidden="false" customHeight="false" outlineLevel="0" collapsed="false">
      <c r="A36" s="0" t="n">
        <v>21</v>
      </c>
      <c r="B36" s="22" t="n">
        <f aca="false">IF(Inputs!B22=0,1,1/(1+EXP(-Inputs!B22*(A36-Inputs!B21))))</f>
        <v>0.999999997938846</v>
      </c>
      <c r="C36" s="32" t="n">
        <f aca="false">IF(A36-Inputs!B23&lt;1,0,$B$9*IF(Inputs!B22=0,1,1/(1+EXP(-Inputs!B22*(A36-Inputs!B23-Inputs!B21)))))</f>
        <v>1.19999999752662</v>
      </c>
      <c r="D36" s="32" t="n">
        <f aca="true">D35*(1-$B$5)+IF(A36-Inputs!B17&lt;1,0,OFFSET(C36,-Inputs!B17,0)*(1-$B$5)^Inputs!B17)</f>
        <v>13.2270894170995</v>
      </c>
      <c r="E36" s="15" t="n">
        <f aca="false">IF(D36&gt;0,F36/D36,0)</f>
        <v>103.940818322992</v>
      </c>
      <c r="F36" s="15" t="n">
        <f aca="true">F35*(1-$B$5)*(1+$B$6)+IF(A36-Inputs!B17&lt;1,0,OFFSET(C36,-Inputs!B17,0)*(1-$B$5)^Inputs!B17)*$B$3</f>
        <v>1374.83449804472</v>
      </c>
      <c r="G36" s="15" t="n">
        <f aca="false">F36*$B$4</f>
        <v>962.384148631301</v>
      </c>
      <c r="H36" s="15" t="n">
        <f aca="false">$B$9*B36*$B$7</f>
        <v>119.999999752662</v>
      </c>
      <c r="I36" s="15" t="n">
        <f aca="false">$B$8</f>
        <v>16364</v>
      </c>
      <c r="J36" s="15" t="n">
        <f aca="false">G36-H36-I36</f>
        <v>-15521.6158511214</v>
      </c>
      <c r="K36" s="15" t="n">
        <f aca="false">K35+J36</f>
        <v>-329488.50762522</v>
      </c>
      <c r="L36" s="15" t="n">
        <f aca="false">MIN(J36:J51)</f>
        <v>-15521.6158511214</v>
      </c>
    </row>
    <row r="37" customFormat="false" ht="15" hidden="false" customHeight="false" outlineLevel="0" collapsed="false">
      <c r="A37" s="0" t="n">
        <v>22</v>
      </c>
      <c r="B37" s="22" t="n">
        <f aca="false">IF(Inputs!B22=0,1,1/(1+EXP(-Inputs!B22*(A37-Inputs!B21))))</f>
        <v>0.999999999241744</v>
      </c>
      <c r="C37" s="32" t="n">
        <f aca="false">IF(A37-Inputs!B23&lt;1,0,$B$9*IF(Inputs!B22=0,1,1/(1+EXP(-Inputs!B22*(A37-Inputs!B23-Inputs!B21)))))</f>
        <v>1.19999999909009</v>
      </c>
      <c r="D37" s="32" t="n">
        <f aca="true">D36*(1-$B$5)+IF(A37-Inputs!B17&lt;1,0,OFFSET(C37,-Inputs!B17,0)*(1-$B$5)^Inputs!B17)</f>
        <v>13.4171931556023</v>
      </c>
      <c r="E37" s="15" t="n">
        <f aca="false">IF(D37&gt;0,F37/D37,0)</f>
        <v>103.529856568686</v>
      </c>
      <c r="F37" s="15" t="n">
        <f aca="true">F36*(1-$B$5)*(1+$B$6)+IF(A37-Inputs!B17&lt;1,0,OFFSET(C37,-Inputs!B17,0)*(1-$B$5)^Inputs!B17)*$B$3</f>
        <v>1389.08008295386</v>
      </c>
      <c r="G37" s="15" t="n">
        <f aca="false">F37*$B$4</f>
        <v>972.356058067703</v>
      </c>
      <c r="H37" s="15" t="n">
        <f aca="false">$B$9*B37*$B$7</f>
        <v>119.999999909009</v>
      </c>
      <c r="I37" s="15" t="n">
        <f aca="false">$B$8</f>
        <v>16364</v>
      </c>
      <c r="J37" s="15" t="n">
        <f aca="false">G37-H37-I37</f>
        <v>-15511.6439418413</v>
      </c>
      <c r="K37" s="15" t="n">
        <f aca="false">K36+J37</f>
        <v>-345000.151567061</v>
      </c>
      <c r="L37" s="15" t="n">
        <f aca="false">MIN(J37:J51)</f>
        <v>-15511.6439418413</v>
      </c>
    </row>
    <row r="38" customFormat="false" ht="15" hidden="false" customHeight="false" outlineLevel="0" collapsed="false">
      <c r="A38" s="0" t="n">
        <v>23</v>
      </c>
      <c r="B38" s="22" t="n">
        <f aca="false">IF(Inputs!B22=0,1,1/(1+EXP(-Inputs!B22*(A38-Inputs!B21))))</f>
        <v>0.999999999721053</v>
      </c>
      <c r="C38" s="32" t="n">
        <f aca="false">IF(A38-Inputs!B23&lt;1,0,$B$9*IF(Inputs!B22=0,1,1/(1+EXP(-Inputs!B22*(A38-Inputs!B23-Inputs!B21)))))</f>
        <v>1.19999999966526</v>
      </c>
      <c r="D38" s="32" t="n">
        <f aca="true">D37*(1-$B$5)+IF(A38-Inputs!B17&lt;1,0,OFFSET(C38,-Inputs!B17,0)*(1-$B$5)^Inputs!B17)</f>
        <v>13.5939896338639</v>
      </c>
      <c r="E38" s="15" t="n">
        <f aca="false">IF(D38&gt;0,F38/D38,0)</f>
        <v>103.157977520446</v>
      </c>
      <c r="F38" s="15" t="n">
        <f aca="true">F37*(1-$B$5)*(1+$B$6)+IF(A38-Inputs!B17&lt;1,0,OFFSET(C38,-Inputs!B17,0)*(1-$B$5)^Inputs!B17)*$B$3</f>
        <v>1402.32847706332</v>
      </c>
      <c r="G38" s="15" t="n">
        <f aca="false">F38*$B$4</f>
        <v>981.629933944321</v>
      </c>
      <c r="H38" s="15" t="n">
        <f aca="false">$B$9*B38*$B$7</f>
        <v>119.999999966526</v>
      </c>
      <c r="I38" s="15" t="n">
        <f aca="false">$B$8</f>
        <v>16364</v>
      </c>
      <c r="J38" s="15" t="n">
        <f aca="false">G38-H38-I38</f>
        <v>-15502.3700660222</v>
      </c>
      <c r="K38" s="15" t="n">
        <f aca="false">K37+J38</f>
        <v>-360502.521633083</v>
      </c>
      <c r="L38" s="15" t="n">
        <f aca="false">MIN(J38:J51)</f>
        <v>-15502.3700660222</v>
      </c>
    </row>
    <row r="39" customFormat="false" ht="15" hidden="false" customHeight="false" outlineLevel="0" collapsed="false">
      <c r="A39" s="0" t="n">
        <v>24</v>
      </c>
      <c r="B39" s="22" t="n">
        <f aca="false">IF(Inputs!B22=0,1,1/(1+EXP(-Inputs!B22*(A39-Inputs!B21))))</f>
        <v>0.999999999897381</v>
      </c>
      <c r="C39" s="32" t="n">
        <f aca="false">IF(A39-Inputs!B23&lt;1,0,$B$9*IF(Inputs!B22=0,1,1/(1+EXP(-Inputs!B22*(A39-Inputs!B23-Inputs!B21)))))</f>
        <v>1.19999999987686</v>
      </c>
      <c r="D39" s="32" t="n">
        <f aca="true">D38*(1-$B$5)+IF(A39-Inputs!B17&lt;1,0,OFFSET(C39,-Inputs!B17,0)*(1-$B$5)^Inputs!B17)</f>
        <v>13.7584103591822</v>
      </c>
      <c r="E39" s="15" t="n">
        <f aca="false">IF(D39&gt;0,F39/D39,0)</f>
        <v>102.820707240641</v>
      </c>
      <c r="F39" s="15" t="n">
        <f aca="true">F38*(1-$B$5)*(1+$B$6)+IF(A39-Inputs!B17&lt;1,0,OFFSET(C39,-Inputs!B17,0)*(1-$B$5)^Inputs!B17)*$B$3</f>
        <v>1414.64948363806</v>
      </c>
      <c r="G39" s="15" t="n">
        <f aca="false">F39*$B$4</f>
        <v>990.254638546645</v>
      </c>
      <c r="H39" s="15" t="n">
        <f aca="false">$B$9*B39*$B$7</f>
        <v>119.999999987686</v>
      </c>
      <c r="I39" s="15" t="n">
        <f aca="false">$B$8</f>
        <v>16364</v>
      </c>
      <c r="J39" s="15" t="n">
        <f aca="false">G39-H39-I39</f>
        <v>-15493.745361441</v>
      </c>
      <c r="K39" s="15" t="n">
        <f aca="false">K38+J39</f>
        <v>-375996.266994524</v>
      </c>
      <c r="L39" s="15" t="n">
        <f aca="false">MIN(J39:J51)</f>
        <v>-15493.745361441</v>
      </c>
    </row>
    <row r="40" customFormat="false" ht="15" hidden="false" customHeight="false" outlineLevel="0" collapsed="false">
      <c r="A40" s="0" t="n">
        <v>25</v>
      </c>
      <c r="B40" s="22" t="n">
        <f aca="false">IF(Inputs!B22=0,1,1/(1+EXP(-Inputs!B22*(A40-Inputs!B21))))</f>
        <v>0.999999999962249</v>
      </c>
      <c r="C40" s="32" t="n">
        <f aca="false">IF(A40-Inputs!B23&lt;1,0,$B$9*IF(Inputs!B22=0,1,1/(1+EXP(-Inputs!B22*(A40-Inputs!B23-Inputs!B21)))))</f>
        <v>1.1999999999547</v>
      </c>
      <c r="D40" s="32" t="n">
        <f aca="true">D39*(1-$B$5)+IF(A40-Inputs!B17&lt;1,0,OFFSET(C40,-Inputs!B17,0)*(1-$B$5)^Inputs!B17)</f>
        <v>13.9113216339249</v>
      </c>
      <c r="E40" s="15" t="n">
        <f aca="false">IF(D40&gt;0,F40/D40,0)</f>
        <v>102.514200828646</v>
      </c>
      <c r="F40" s="15" t="n">
        <f aca="true">F39*(1-$B$5)*(1+$B$6)+IF(A40-Inputs!B17&lt;1,0,OFFSET(C40,-Inputs!B17,0)*(1-$B$5)^Inputs!B17)*$B$3</f>
        <v>1426.10801977206</v>
      </c>
      <c r="G40" s="15" t="n">
        <f aca="false">F40*$B$4</f>
        <v>998.275613840443</v>
      </c>
      <c r="H40" s="15" t="n">
        <f aca="false">$B$9*B40*$B$7</f>
        <v>119.99999999547</v>
      </c>
      <c r="I40" s="15" t="n">
        <f aca="false">$B$8</f>
        <v>16364</v>
      </c>
      <c r="J40" s="15" t="n">
        <f aca="false">G40-H40-I40</f>
        <v>-15485.724386155</v>
      </c>
      <c r="K40" s="15" t="n">
        <f aca="false">K39+J40</f>
        <v>-391481.991380679</v>
      </c>
      <c r="L40" s="15" t="n">
        <f aca="false">MIN(J40:J51)</f>
        <v>-15485.724386155</v>
      </c>
    </row>
    <row r="41" customFormat="false" ht="15" hidden="false" customHeight="false" outlineLevel="0" collapsed="false">
      <c r="A41" s="0" t="n">
        <v>26</v>
      </c>
      <c r="B41" s="22" t="n">
        <f aca="false">IF(Inputs!B22=0,1,1/(1+EXP(-Inputs!B22*(A41-Inputs!B21))))</f>
        <v>0.999999999986112</v>
      </c>
      <c r="C41" s="32" t="n">
        <f aca="false">IF(A41-Inputs!B23&lt;1,0,$B$9*IF(Inputs!B22=0,1,1/(1+EXP(-Inputs!B22*(A41-Inputs!B23-Inputs!B21)))))</f>
        <v>1.19999999998333</v>
      </c>
      <c r="D41" s="32" t="n">
        <f aca="true">D40*(1-$B$5)+IF(A41-Inputs!B17&lt;1,0,OFFSET(C41,-Inputs!B17,0)*(1-$B$5)^Inputs!B17)</f>
        <v>14.053529119508</v>
      </c>
      <c r="E41" s="15" t="n">
        <f aca="false">IF(D41&gt;0,F41/D41,0)</f>
        <v>102.23513582716</v>
      </c>
      <c r="F41" s="15" t="n">
        <f aca="true">F40*(1-$B$5)*(1+$B$6)+IF(A41-Inputs!B17&lt;1,0,OFFSET(C41,-Inputs!B17,0)*(1-$B$5)^Inputs!B17)*$B$3</f>
        <v>1436.76445838385</v>
      </c>
      <c r="G41" s="15" t="n">
        <f aca="false">F41*$B$4</f>
        <v>1005.73512086869</v>
      </c>
      <c r="H41" s="15" t="n">
        <f aca="false">$B$9*B41*$B$7</f>
        <v>119.999999998333</v>
      </c>
      <c r="I41" s="15" t="n">
        <f aca="false">$B$8</f>
        <v>16364</v>
      </c>
      <c r="J41" s="15" t="n">
        <f aca="false">G41-H41-I41</f>
        <v>-15478.2648791296</v>
      </c>
      <c r="K41" s="15" t="n">
        <f aca="false">K40+J41</f>
        <v>-406960.256259809</v>
      </c>
      <c r="L41" s="15" t="n">
        <f aca="false">MIN(J41:J51)</f>
        <v>-15478.2648791296</v>
      </c>
    </row>
    <row r="42" customFormat="false" ht="15" hidden="false" customHeight="false" outlineLevel="0" collapsed="false">
      <c r="A42" s="0" t="n">
        <v>27</v>
      </c>
      <c r="B42" s="22" t="n">
        <f aca="false">IF(Inputs!B22=0,1,1/(1+EXP(-Inputs!B22*(A42-Inputs!B21))))</f>
        <v>0.999999999994891</v>
      </c>
      <c r="C42" s="32" t="n">
        <f aca="false">IF(A42-Inputs!B23&lt;1,0,$B$9*IF(Inputs!B22=0,1,1/(1+EXP(-Inputs!B22*(A42-Inputs!B23-Inputs!B21)))))</f>
        <v>1.19999999999387</v>
      </c>
      <c r="D42" s="32" t="n">
        <f aca="true">D41*(1-$B$5)+IF(A42-Inputs!B17&lt;1,0,OFFSET(C42,-Inputs!B17,0)*(1-$B$5)^Inputs!B17)</f>
        <v>14.1857820811269</v>
      </c>
      <c r="E42" s="15" t="n">
        <f aca="false">IF(D42&gt;0,F42/D42,0)</f>
        <v>101.980626659994</v>
      </c>
      <c r="F42" s="15" t="n">
        <f aca="true">F41*(1-$B$5)*(1+$B$6)+IF(A42-Inputs!B17&lt;1,0,OFFSET(C42,-Inputs!B17,0)*(1-$B$5)^Inputs!B17)*$B$3</f>
        <v>1446.67494629544</v>
      </c>
      <c r="G42" s="15" t="n">
        <f aca="false">F42*$B$4</f>
        <v>1012.67246240681</v>
      </c>
      <c r="H42" s="15" t="n">
        <f aca="false">$B$9*B42*$B$7</f>
        <v>119.999999999387</v>
      </c>
      <c r="I42" s="15" t="n">
        <f aca="false">$B$8</f>
        <v>16364</v>
      </c>
      <c r="J42" s="15" t="n">
        <f aca="false">G42-H42-I42</f>
        <v>-15471.3275375926</v>
      </c>
      <c r="K42" s="15" t="n">
        <f aca="false">K41+J42</f>
        <v>-422431.583797401</v>
      </c>
      <c r="L42" s="15" t="n">
        <f aca="false">MIN(J42:J51)</f>
        <v>-15471.3275375926</v>
      </c>
    </row>
    <row r="43" customFormat="false" ht="15" hidden="false" customHeight="false" outlineLevel="0" collapsed="false">
      <c r="A43" s="0" t="n">
        <v>28</v>
      </c>
      <c r="B43" s="22" t="n">
        <f aca="false">IF(Inputs!B22=0,1,1/(1+EXP(-Inputs!B22*(A43-Inputs!B21))))</f>
        <v>0.99999999999812</v>
      </c>
      <c r="C43" s="32" t="n">
        <f aca="false">IF(A43-Inputs!B23&lt;1,0,$B$9*IF(Inputs!B22=0,1,1/(1+EXP(-Inputs!B22*(A43-Inputs!B23-Inputs!B21)))))</f>
        <v>1.19999999999774</v>
      </c>
      <c r="D43" s="32" t="n">
        <f aca="true">D42*(1-$B$5)+IF(A43-Inputs!B17&lt;1,0,OFFSET(C43,-Inputs!B17,0)*(1-$B$5)^Inputs!B17)</f>
        <v>14.3087773354424</v>
      </c>
      <c r="E43" s="15" t="n">
        <f aca="false">IF(D43&gt;0,F43/D43,0)</f>
        <v>101.748155410036</v>
      </c>
      <c r="F43" s="15" t="n">
        <f aca="true">F42*(1-$B$5)*(1+$B$6)+IF(A43-Inputs!B17&lt;1,0,OFFSET(C43,-Inputs!B17,0)*(1-$B$5)^Inputs!B17)*$B$3</f>
        <v>1455.8917000542</v>
      </c>
      <c r="G43" s="15" t="n">
        <f aca="false">F43*$B$4</f>
        <v>1019.12419003794</v>
      </c>
      <c r="H43" s="15" t="n">
        <f aca="false">$B$9*B43*$B$7</f>
        <v>119.999999999774</v>
      </c>
      <c r="I43" s="15" t="n">
        <f aca="false">$B$8</f>
        <v>16364</v>
      </c>
      <c r="J43" s="15" t="n">
        <f aca="false">G43-H43-I43</f>
        <v>-15464.8758099618</v>
      </c>
      <c r="K43" s="15" t="n">
        <f aca="false">K42+J43</f>
        <v>-437896.459607363</v>
      </c>
      <c r="L43" s="15" t="n">
        <f aca="false">MIN(J43:J51)</f>
        <v>-15464.8758099618</v>
      </c>
    </row>
    <row r="44" customFormat="false" ht="15" hidden="false" customHeight="false" outlineLevel="0" collapsed="false">
      <c r="A44" s="0" t="n">
        <v>29</v>
      </c>
      <c r="B44" s="22" t="n">
        <f aca="false">IF(Inputs!B22=0,1,1/(1+EXP(-Inputs!B22*(A44-Inputs!B21))))</f>
        <v>0.999999999999309</v>
      </c>
      <c r="C44" s="32" t="n">
        <f aca="false">IF(A44-Inputs!B23&lt;1,0,$B$9*IF(Inputs!B22=0,1,1/(1+EXP(-Inputs!B22*(A44-Inputs!B23-Inputs!B21)))))</f>
        <v>1.19999999999917</v>
      </c>
      <c r="D44" s="32" t="n">
        <f aca="true">D43*(1-$B$5)+IF(A44-Inputs!B17&lt;1,0,OFFSET(C44,-Inputs!B17,0)*(1-$B$5)^Inputs!B17)</f>
        <v>14.4231629219593</v>
      </c>
      <c r="E44" s="15" t="n">
        <f aca="false">IF(D44&gt;0,F44/D44,0)</f>
        <v>101.535515404915</v>
      </c>
      <c r="F44" s="15" t="n">
        <f aca="true">F43*(1-$B$5)*(1+$B$6)+IF(A44-Inputs!B17&lt;1,0,OFFSET(C44,-Inputs!B17,0)*(1-$B$5)^Inputs!B17)*$B$3</f>
        <v>1464.4632810502</v>
      </c>
      <c r="G44" s="15" t="n">
        <f aca="false">F44*$B$4</f>
        <v>1025.12429673514</v>
      </c>
      <c r="H44" s="15" t="n">
        <f aca="false">$B$9*B44*$B$7</f>
        <v>119.999999999917</v>
      </c>
      <c r="I44" s="15" t="n">
        <f aca="false">$B$8</f>
        <v>16364</v>
      </c>
      <c r="J44" s="15" t="n">
        <f aca="false">G44-H44-I44</f>
        <v>-15458.8757032648</v>
      </c>
      <c r="K44" s="15" t="n">
        <f aca="false">K43+J44</f>
        <v>-453355.335310628</v>
      </c>
      <c r="L44" s="15" t="n">
        <f aca="false">MIN(J44:J51)</f>
        <v>-15458.8757032648</v>
      </c>
    </row>
    <row r="45" customFormat="false" ht="15" hidden="false" customHeight="false" outlineLevel="0" collapsed="false">
      <c r="A45" s="0" t="n">
        <v>30</v>
      </c>
      <c r="B45" s="22" t="n">
        <f aca="false">IF(Inputs!B22=0,1,1/(1+EXP(-Inputs!B22*(A45-Inputs!B21))))</f>
        <v>0.999999999999746</v>
      </c>
      <c r="C45" s="32" t="n">
        <f aca="false">IF(A45-Inputs!B23&lt;1,0,$B$9*IF(Inputs!B22=0,1,1/(1+EXP(-Inputs!B22*(A45-Inputs!B23-Inputs!B21)))))</f>
        <v>1.19999999999969</v>
      </c>
      <c r="D45" s="32" t="n">
        <f aca="true">D44*(1-$B$5)+IF(A45-Inputs!B17&lt;1,0,OFFSET(C45,-Inputs!B17,0)*(1-$B$5)^Inputs!B17)</f>
        <v>14.5295415174214</v>
      </c>
      <c r="E45" s="15" t="n">
        <f aca="false">IF(D45&gt;0,F45/D45,0)</f>
        <v>101.34076492442</v>
      </c>
      <c r="F45" s="15" t="n">
        <f aca="true">F44*(1-$B$5)*(1+$B$6)+IF(A45-Inputs!B17&lt;1,0,OFFSET(C45,-Inputs!B17,0)*(1-$B$5)^Inputs!B17)*$B$3</f>
        <v>1472.43485137661</v>
      </c>
      <c r="G45" s="15" t="n">
        <f aca="false">F45*$B$4</f>
        <v>1030.70439596362</v>
      </c>
      <c r="H45" s="15" t="n">
        <f aca="false">$B$9*B45*$B$7</f>
        <v>119.999999999969</v>
      </c>
      <c r="I45" s="15" t="n">
        <f aca="false">$B$8</f>
        <v>16364</v>
      </c>
      <c r="J45" s="15" t="n">
        <f aca="false">G45-H45-I45</f>
        <v>-15453.2956040363</v>
      </c>
      <c r="K45" s="15" t="n">
        <f aca="false">K44+J45</f>
        <v>-468808.630914664</v>
      </c>
      <c r="L45" s="15" t="n">
        <f aca="false">MIN(J45:J51)</f>
        <v>-15453.2956040363</v>
      </c>
    </row>
    <row r="46" customFormat="false" ht="15" hidden="false" customHeight="false" outlineLevel="0" collapsed="false">
      <c r="A46" s="0" t="n">
        <v>31</v>
      </c>
      <c r="B46" s="22" t="n">
        <f aca="false">IF(Inputs!B22=0,1,1/(1+EXP(-Inputs!B22*(A46-Inputs!B21))))</f>
        <v>0.999999999999907</v>
      </c>
      <c r="C46" s="32" t="n">
        <f aca="false">IF(A46-Inputs!B23&lt;1,0,$B$9*IF(Inputs!B22=0,1,1/(1+EXP(-Inputs!B22*(A46-Inputs!B23-Inputs!B21)))))</f>
        <v>1.19999999999989</v>
      </c>
      <c r="D46" s="32" t="n">
        <f aca="true">D45*(1-$B$5)+IF(A46-Inputs!B17&lt;1,0,OFFSET(C46,-Inputs!B17,0)*(1-$B$5)^Inputs!B17)</f>
        <v>14.6284736112016</v>
      </c>
      <c r="E46" s="15" t="n">
        <f aca="false">IF(D46&gt;0,F46/D46,0)</f>
        <v>101.162188968714</v>
      </c>
      <c r="F46" s="15" t="n">
        <f aca="true">F45*(1-$B$5)*(1+$B$6)+IF(A46-Inputs!B17&lt;1,0,OFFSET(C46,-Inputs!B17,0)*(1-$B$5)^Inputs!B17)*$B$3</f>
        <v>1479.84841178021</v>
      </c>
      <c r="G46" s="15" t="n">
        <f aca="false">F46*$B$4</f>
        <v>1035.89388824615</v>
      </c>
      <c r="H46" s="15" t="n">
        <f aca="false">$B$9*B46*$B$7</f>
        <v>119.999999999989</v>
      </c>
      <c r="I46" s="15" t="n">
        <f aca="false">$B$8</f>
        <v>16364</v>
      </c>
      <c r="J46" s="15" t="n">
        <f aca="false">G46-H46-I46</f>
        <v>-15448.1061117538</v>
      </c>
      <c r="K46" s="15" t="n">
        <f aca="false">K45+J46</f>
        <v>-484256.737026418</v>
      </c>
      <c r="L46" s="15" t="n">
        <f aca="false">MIN(J46:J51)</f>
        <v>-15448.1061117538</v>
      </c>
    </row>
    <row r="47" customFormat="false" ht="15" hidden="false" customHeight="false" outlineLevel="0" collapsed="false">
      <c r="A47" s="0" t="n">
        <v>32</v>
      </c>
      <c r="B47" s="22" t="n">
        <f aca="false">IF(Inputs!B22=0,1,1/(1+EXP(-Inputs!B22*(A47-Inputs!B21))))</f>
        <v>0.999999999999966</v>
      </c>
      <c r="C47" s="32" t="n">
        <f aca="false">IF(A47-Inputs!B23&lt;1,0,$B$9*IF(Inputs!B22=0,1,1/(1+EXP(-Inputs!B22*(A47-Inputs!B23-Inputs!B21)))))</f>
        <v>1.19999999999996</v>
      </c>
      <c r="D47" s="32" t="n">
        <f aca="true">D46*(1-$B$5)+IF(A47-Inputs!B17&lt;1,0,OFFSET(C47,-Inputs!B17,0)*(1-$B$5)^Inputs!B17)</f>
        <v>14.7204804584174</v>
      </c>
      <c r="E47" s="15" t="n">
        <f aca="false">IF(D47&gt;0,F47/D47,0)</f>
        <v>100.99826749238</v>
      </c>
      <c r="F47" s="15" t="n">
        <f aca="true">F46*(1-$B$5)*(1+$B$6)+IF(A47-Inputs!B17&lt;1,0,OFFSET(C47,-Inputs!B17,0)*(1-$B$5)^Inputs!B17)*$B$3</f>
        <v>1486.74302295559</v>
      </c>
      <c r="G47" s="15" t="n">
        <f aca="false">F47*$B$4</f>
        <v>1040.72011606891</v>
      </c>
      <c r="H47" s="15" t="n">
        <f aca="false">$B$9*B47*$B$7</f>
        <v>119.999999999996</v>
      </c>
      <c r="I47" s="15" t="n">
        <f aca="false">$B$8</f>
        <v>16364</v>
      </c>
      <c r="J47" s="15" t="n">
        <f aca="false">G47-H47-I47</f>
        <v>-15443.2798839311</v>
      </c>
      <c r="K47" s="15" t="n">
        <f aca="false">K46+J47</f>
        <v>-499700.016910349</v>
      </c>
      <c r="L47" s="15" t="n">
        <f aca="false">MIN(J47:J51)</f>
        <v>-15443.2798839311</v>
      </c>
    </row>
    <row r="48" customFormat="false" ht="15" hidden="false" customHeight="false" outlineLevel="0" collapsed="false">
      <c r="A48" s="0" t="n">
        <v>33</v>
      </c>
      <c r="B48" s="22" t="n">
        <f aca="false">IF(Inputs!B22=0,1,1/(1+EXP(-Inputs!B22*(A48-Inputs!B21))))</f>
        <v>0.999999999999987</v>
      </c>
      <c r="C48" s="32" t="n">
        <f aca="false">IF(A48-Inputs!B23&lt;1,0,$B$9*IF(Inputs!B22=0,1,1/(1+EXP(-Inputs!B22*(A48-Inputs!B23-Inputs!B21)))))</f>
        <v>1.19999999999998</v>
      </c>
      <c r="D48" s="32" t="n">
        <f aca="true">D47*(1-$B$5)+IF(A48-Inputs!B17&lt;1,0,OFFSET(C48,-Inputs!B17,0)*(1-$B$5)^Inputs!B17)</f>
        <v>14.8060468263281</v>
      </c>
      <c r="E48" s="15" t="n">
        <f aca="false">IF(D48&gt;0,F48/D48,0)</f>
        <v>100.847648860165</v>
      </c>
      <c r="F48" s="15" t="n">
        <f aca="true">F47*(1-$B$5)*(1+$B$6)+IF(A48-Inputs!B17&lt;1,0,OFFSET(C48,-Inputs!B17,0)*(1-$B$5)^Inputs!B17)*$B$3</f>
        <v>1493.15501134869</v>
      </c>
      <c r="G48" s="15" t="n">
        <f aca="false">F48*$B$4</f>
        <v>1045.20850794409</v>
      </c>
      <c r="H48" s="15" t="n">
        <f aca="false">$B$9*B48*$B$7</f>
        <v>119.999999999998</v>
      </c>
      <c r="I48" s="15" t="n">
        <f aca="false">$B$8</f>
        <v>16364</v>
      </c>
      <c r="J48" s="15" t="n">
        <f aca="false">G48-H48-I48</f>
        <v>-15438.7914920559</v>
      </c>
      <c r="K48" s="15" t="n">
        <f aca="false">K47+J48</f>
        <v>-515138.808402405</v>
      </c>
      <c r="L48" s="15" t="n">
        <f aca="false">MIN(J48:J51)</f>
        <v>-15438.7914920559</v>
      </c>
    </row>
    <row r="49" customFormat="false" ht="15" hidden="false" customHeight="false" outlineLevel="0" collapsed="false">
      <c r="A49" s="0" t="n">
        <v>34</v>
      </c>
      <c r="B49" s="22" t="n">
        <f aca="false">IF(Inputs!B22=0,1,1/(1+EXP(-Inputs!B22*(A49-Inputs!B21))))</f>
        <v>0.999999999999995</v>
      </c>
      <c r="C49" s="32" t="n">
        <f aca="false">IF(A49-Inputs!B23&lt;1,0,$B$9*IF(Inputs!B22=0,1,1/(1+EXP(-Inputs!B22*(A49-Inputs!B23-Inputs!B21)))))</f>
        <v>1.19999999999999</v>
      </c>
      <c r="D49" s="32" t="n">
        <f aca="true">D48*(1-$B$5)+IF(A49-Inputs!B17&lt;1,0,OFFSET(C49,-Inputs!B17,0)*(1-$B$5)^Inputs!B17)</f>
        <v>14.8856235484851</v>
      </c>
      <c r="E49" s="15" t="n">
        <f aca="false">IF(D49&gt;0,F49/D49,0)</f>
        <v>100.709127546548</v>
      </c>
      <c r="F49" s="15" t="n">
        <f aca="true">F48*(1-$B$5)*(1+$B$6)+IF(A49-Inputs!B17&lt;1,0,OFFSET(C49,-Inputs!B17,0)*(1-$B$5)^Inputs!B17)*$B$3</f>
        <v>1499.11816055428</v>
      </c>
      <c r="G49" s="15" t="n">
        <f aca="false">F49*$B$4</f>
        <v>1049.382712388</v>
      </c>
      <c r="H49" s="15" t="n">
        <f aca="false">$B$9*B49*$B$7</f>
        <v>119.999999999999</v>
      </c>
      <c r="I49" s="15" t="n">
        <f aca="false">$B$8</f>
        <v>16364</v>
      </c>
      <c r="J49" s="15" t="n">
        <f aca="false">G49-H49-I49</f>
        <v>-15434.617287612</v>
      </c>
      <c r="K49" s="15" t="n">
        <f aca="false">K48+J49</f>
        <v>-530573.425690017</v>
      </c>
      <c r="L49" s="15" t="n">
        <f aca="false">MIN(J49:J51)</f>
        <v>-15434.617287612</v>
      </c>
    </row>
    <row r="50" customFormat="false" ht="15" hidden="false" customHeight="false" outlineLevel="0" collapsed="false">
      <c r="A50" s="0" t="n">
        <v>35</v>
      </c>
      <c r="B50" s="22" t="n">
        <f aca="false">IF(Inputs!B22=0,1,1/(1+EXP(-Inputs!B22*(A50-Inputs!B21))))</f>
        <v>0.999999999999998</v>
      </c>
      <c r="C50" s="32" t="n">
        <f aca="false">IF(A50-Inputs!B23&lt;1,0,$B$9*IF(Inputs!B22=0,1,1/(1+EXP(-Inputs!B22*(A50-Inputs!B23-Inputs!B21)))))</f>
        <v>1.2</v>
      </c>
      <c r="D50" s="32" t="n">
        <f aca="true">D49*(1-$B$5)+IF(A50-Inputs!B17&lt;1,0,OFFSET(C50,-Inputs!B17,0)*(1-$B$5)^Inputs!B17)</f>
        <v>14.9596299000912</v>
      </c>
      <c r="E50" s="15" t="n">
        <f aca="false">IF(D50&gt;0,F50/D50,0)</f>
        <v>100.581625305203</v>
      </c>
      <c r="F50" s="15" t="n">
        <f aca="true">F49*(1-$B$5)*(1+$B$6)+IF(A50-Inputs!B17&lt;1,0,OFFSET(C50,-Inputs!B17,0)*(1-$B$5)^Inputs!B17)*$B$3</f>
        <v>1504.66388931548</v>
      </c>
      <c r="G50" s="15" t="n">
        <f aca="false">F50*$B$4</f>
        <v>1053.26472252084</v>
      </c>
      <c r="H50" s="15" t="n">
        <f aca="false">$B$9*B50*$B$7</f>
        <v>120</v>
      </c>
      <c r="I50" s="15" t="n">
        <f aca="false">$B$8</f>
        <v>16364</v>
      </c>
      <c r="J50" s="15" t="n">
        <f aca="false">G50-H50-I50</f>
        <v>-15430.7352774792</v>
      </c>
      <c r="K50" s="15" t="n">
        <f aca="false">K49+J50</f>
        <v>-546004.160967497</v>
      </c>
      <c r="L50" s="15" t="n">
        <f aca="false">MIN(J50:J51)</f>
        <v>-15430.7352774792</v>
      </c>
    </row>
    <row r="51" customFormat="false" ht="15" hidden="false" customHeight="false" outlineLevel="0" collapsed="false">
      <c r="A51" s="0" t="n">
        <v>36</v>
      </c>
      <c r="B51" s="22" t="n">
        <f aca="false">IF(Inputs!B22=0,1,1/(1+EXP(-Inputs!B22*(A51-Inputs!B21))))</f>
        <v>0.999999999999999</v>
      </c>
      <c r="C51" s="32" t="n">
        <f aca="false">IF(A51-Inputs!B23&lt;1,0,$B$9*IF(Inputs!B22=0,1,1/(1+EXP(-Inputs!B22*(A51-Inputs!B23-Inputs!B21)))))</f>
        <v>1.2</v>
      </c>
      <c r="D51" s="32" t="n">
        <f aca="true">D50*(1-$B$5)+IF(A51-Inputs!B17&lt;1,0,OFFSET(C51,-Inputs!B17,0)*(1-$B$5)^Inputs!B17)</f>
        <v>15.0284558070848</v>
      </c>
      <c r="E51" s="15" t="n">
        <f aca="false">IF(D51&gt;0,F51/D51,0)</f>
        <v>100.464175191681</v>
      </c>
      <c r="F51" s="15" t="n">
        <f aca="true">F50*(1-$B$5)*(1+$B$6)+IF(A51-Inputs!B17&lt;1,0,OFFSET(C51,-Inputs!B17,0)*(1-$B$5)^Inputs!B17)*$B$3</f>
        <v>1509.8214170634</v>
      </c>
      <c r="G51" s="15" t="n">
        <f aca="false">F51*$B$4</f>
        <v>1056.87499194438</v>
      </c>
      <c r="H51" s="15" t="n">
        <f aca="false">$B$9*B51*$B$7</f>
        <v>120</v>
      </c>
      <c r="I51" s="15" t="n">
        <f aca="false">$B$8</f>
        <v>16364</v>
      </c>
      <c r="J51" s="15" t="n">
        <f aca="false">G51-H51-I51</f>
        <v>-15427.1250080556</v>
      </c>
      <c r="K51" s="15" t="n">
        <f aca="false">K50+J51</f>
        <v>-561431.285975552</v>
      </c>
      <c r="L51" s="15" t="n">
        <f aca="false">MIN(J51)</f>
        <v>-15427.1250080556</v>
      </c>
    </row>
    <row r="53" customFormat="false" ht="15" hidden="false" customHeight="false" outlineLevel="0" collapsed="false">
      <c r="A53" s="14" t="s">
        <v>114</v>
      </c>
      <c r="B53" s="0" t="str">
        <f aca="false">IFERROR(INDEX(A16:A51,MATCH(TRUE(),INDEX(L16:L51&gt;=0,0),0)),"none")</f>
        <v>none</v>
      </c>
    </row>
    <row r="54" customFormat="false" ht="15" hidden="false" customHeight="false" outlineLevel="0" collapsed="false">
      <c r="A54" s="14" t="s">
        <v>19</v>
      </c>
      <c r="B54" s="15" t="n">
        <f aca="false">MAX(0,Inputs!B16,-MIN(K16:K51))</f>
        <v>561431.285975552</v>
      </c>
    </row>
    <row r="55" customFormat="false" ht="15" hidden="false" customHeight="false" outlineLevel="0" collapsed="false">
      <c r="A55" s="14" t="s">
        <v>115</v>
      </c>
      <c r="B55" s="16" t="n">
        <f aca="false">Inputs!B24*Inputs!D25</f>
        <v>37.68</v>
      </c>
    </row>
    <row r="56" customFormat="false" ht="15" hidden="false" customHeight="false" outlineLevel="0" collapsed="false">
      <c r="A56" s="14" t="s">
        <v>116</v>
      </c>
      <c r="B56" s="16" t="n">
        <f aca="false">D51</f>
        <v>15.0284558070848</v>
      </c>
    </row>
    <row r="57" customFormat="false" ht="15" hidden="false" customHeight="false" outlineLevel="0" collapsed="false">
      <c r="A57" s="14" t="s">
        <v>25</v>
      </c>
      <c r="B57" s="22" t="n">
        <f aca="false">IF(B55&gt;0,B56/B55,0)</f>
        <v>0.398844368553206</v>
      </c>
    </row>
    <row r="58" customFormat="false" ht="15" hidden="false" customHeight="false" outlineLevel="0" collapsed="false">
      <c r="A58" s="14" t="s">
        <v>117</v>
      </c>
      <c r="B58" s="0" t="str">
        <f aca="false">IF(B57&gt;1,"above_comparables",IF(B57&lt;0.1,"far_below_comparables","within_range"))</f>
        <v>within_range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120</v>
      </c>
    </row>
    <row r="3" customFormat="false" ht="15" hidden="false" customHeight="false" outlineLevel="0" collapsed="false">
      <c r="A3" s="17" t="s">
        <v>97</v>
      </c>
      <c r="B3" s="7" t="n">
        <f aca="false">Inputs!E5</f>
        <v>169</v>
      </c>
    </row>
    <row r="4" customFormat="false" ht="15" hidden="false" customHeight="false" outlineLevel="0" collapsed="false">
      <c r="A4" s="17" t="s">
        <v>17</v>
      </c>
      <c r="B4" s="10" t="n">
        <f aca="false">Inputs!E6</f>
        <v>0.9</v>
      </c>
    </row>
    <row r="5" customFormat="false" ht="15" hidden="false" customHeight="false" outlineLevel="0" collapsed="false">
      <c r="A5" s="17" t="s">
        <v>67</v>
      </c>
      <c r="B5" s="10" t="n">
        <f aca="false">Inputs!D7</f>
        <v>0.03</v>
      </c>
    </row>
    <row r="6" customFormat="false" ht="15" hidden="false" customHeight="false" outlineLevel="0" collapsed="false">
      <c r="A6" s="17" t="s">
        <v>98</v>
      </c>
      <c r="B6" s="10" t="n">
        <f aca="false">Inputs!E8</f>
        <v>0</v>
      </c>
    </row>
    <row r="7" customFormat="false" ht="15" hidden="false" customHeight="false" outlineLevel="0" collapsed="false">
      <c r="A7" s="17" t="s">
        <v>13</v>
      </c>
      <c r="B7" s="7" t="n">
        <f aca="false">Inputs!D11</f>
        <v>100</v>
      </c>
    </row>
    <row r="8" customFormat="false" ht="15" hidden="false" customHeight="false" outlineLevel="0" collapsed="false">
      <c r="A8" s="17" t="s">
        <v>99</v>
      </c>
      <c r="B8" s="7" t="n">
        <f aca="false">Inputs!B14*Inputs!D10+Inputs!B15</f>
        <v>7576</v>
      </c>
    </row>
    <row r="9" customFormat="false" ht="15" hidden="false" customHeight="false" outlineLevel="0" collapsed="false">
      <c r="A9" s="17" t="s">
        <v>100</v>
      </c>
      <c r="B9" s="28" t="n">
        <f aca="false">Inputs!E9</f>
        <v>2.4</v>
      </c>
    </row>
    <row r="10" customFormat="false" ht="15" hidden="false" customHeight="false" outlineLevel="0" collapsed="false">
      <c r="A10" s="17" t="s">
        <v>101</v>
      </c>
      <c r="B10" s="29" t="n">
        <f aca="false">B3*B4*(1-B5)^Inputs!B17*IF(ABS(1-(1-B5)*(1+B6))&lt;0.000001,MAX(0,60-Inputs!B17),(1-((1-B5)*(1+B6))^MAX(0,60-Inputs!B17))/(1-(1-B5)*(1+B6)))</f>
        <v>4102.6101880606</v>
      </c>
    </row>
    <row r="11" customFormat="false" ht="15" hidden="false" customHeight="false" outlineLevel="0" collapsed="false">
      <c r="A11" s="17" t="s">
        <v>15</v>
      </c>
      <c r="B11" s="30" t="n">
        <f aca="false">IF(B7&gt;0,B10/B7,"n/a")</f>
        <v>41.026101880606</v>
      </c>
    </row>
    <row r="12" customFormat="false" ht="15" hidden="false" customHeight="false" outlineLevel="0" collapsed="false">
      <c r="A12" s="17" t="s">
        <v>102</v>
      </c>
      <c r="B12" s="31" t="n">
        <f aca="false">IF(B3*B4&lt;=0,"none",IF(B7&lt;=0,1+Inputs!B17,IF((1-B5)*(1+B6)&lt;=0,IF(B7&lt;=B3*B4*(1-B5)^Inputs!B17,1+Inputs!B17,"none"),IF(ABS(1-(1-B5)*(1+B6))&lt;0.000001,IF(B7/(B3*B4*(1-B5)^Inputs!B17)&lt;=60-Inputs!B17,ROUNDUP(B7/(B3*B4*(1-B5)^Inputs!B17),0)+Inputs!B17,"none"),IF(1-B7*(1-(1-B5)*(1+B6))/(B3*B4*(1-B5)^Inputs!B17)&lt;=0,"none",IF(ROUNDUP(LN(1-B7*(1-(1-B5)*(1+B6))/(B3*B4*(1-B5)^Inputs!B17))/LN((1-B5)*(1+B6)),0)&lt;=60-Inputs!B17,ROUNDUP(LN(1-B7*(1-(1-B5)*(1+B6))/(B3*B4*(1-B5)^Inputs!B17))/LN((1-B5)*(1+B6)),0)+Inputs!B17,"none"))))))</f>
        <v>2</v>
      </c>
    </row>
    <row r="15" customFormat="false" ht="15" hidden="false" customHeight="false" outlineLevel="0" collapsed="false">
      <c r="A15" s="6" t="s">
        <v>27</v>
      </c>
      <c r="B15" s="6" t="s">
        <v>103</v>
      </c>
      <c r="C15" s="6" t="s">
        <v>104</v>
      </c>
      <c r="D15" s="6" t="s">
        <v>105</v>
      </c>
      <c r="E15" s="6" t="s">
        <v>106</v>
      </c>
      <c r="F15" s="6" t="s">
        <v>107</v>
      </c>
      <c r="G15" s="6" t="s">
        <v>108</v>
      </c>
      <c r="H15" s="6" t="s">
        <v>109</v>
      </c>
      <c r="I15" s="6" t="s">
        <v>110</v>
      </c>
      <c r="J15" s="6" t="s">
        <v>111</v>
      </c>
      <c r="K15" s="6" t="s">
        <v>112</v>
      </c>
      <c r="L15" s="6" t="s">
        <v>113</v>
      </c>
    </row>
    <row r="16" customFormat="false" ht="15" hidden="false" customHeight="false" outlineLevel="0" collapsed="false">
      <c r="A16" s="0" t="n">
        <v>1</v>
      </c>
      <c r="B16" s="22" t="n">
        <f aca="false">IF(Inputs!B22=0,1,1/(1+EXP(-Inputs!B22*(A16-Inputs!B21))))</f>
        <v>0.5</v>
      </c>
      <c r="C16" s="32" t="n">
        <f aca="false">IF(A16-Inputs!B23&lt;1,0,$B$9*IF(Inputs!B22=0,1,1/(1+EXP(-Inputs!B22*(A16-Inputs!B23-Inputs!B21)))))</f>
        <v>1.2</v>
      </c>
      <c r="D16" s="32" t="n">
        <f aca="true">Inputs!B19*(1-$B$5)+IF(A16-Inputs!B17&lt;1,0,OFFSET(C16,-Inputs!B17,0)*(1-$B$5)^Inputs!B17)</f>
        <v>5.82</v>
      </c>
      <c r="E16" s="15" t="n">
        <f aca="false">IF(D16&gt;0,F16/D16,0)</f>
        <v>149</v>
      </c>
      <c r="F16" s="15" t="n">
        <f aca="true">Inputs!B20*(1-$B$5)*(1+$B$6)+IF(A16-Inputs!B17&lt;1,0,OFFSET(C16,-Inputs!B17,0)*(1-$B$5)^Inputs!B17)*$B$3</f>
        <v>867.18</v>
      </c>
      <c r="G16" s="15" t="n">
        <f aca="false">F16*$B$4</f>
        <v>780.462</v>
      </c>
      <c r="H16" s="15" t="n">
        <f aca="false">$B$9*B16*$B$7</f>
        <v>120</v>
      </c>
      <c r="I16" s="15" t="n">
        <f aca="false">$B$8</f>
        <v>7576</v>
      </c>
      <c r="J16" s="15" t="n">
        <f aca="false">G16-H16-I16</f>
        <v>-6915.538</v>
      </c>
      <c r="K16" s="15" t="n">
        <f aca="false">J16-Inputs!B16</f>
        <v>-6915.538</v>
      </c>
      <c r="L16" s="15" t="n">
        <f aca="false">MIN(J16:J51)</f>
        <v>-6915.538</v>
      </c>
    </row>
    <row r="17" customFormat="false" ht="15" hidden="false" customHeight="false" outlineLevel="0" collapsed="false">
      <c r="A17" s="0" t="n">
        <v>2</v>
      </c>
      <c r="B17" s="22" t="n">
        <f aca="false">IF(Inputs!B22=0,1,1/(1+EXP(-Inputs!B22*(A17-Inputs!B21))))</f>
        <v>0.731058578630005</v>
      </c>
      <c r="C17" s="32" t="n">
        <f aca="false">IF(A17-Inputs!B23&lt;1,0,$B$9*IF(Inputs!B22=0,1,1/(1+EXP(-Inputs!B22*(A17-Inputs!B23-Inputs!B21)))))</f>
        <v>1.75454058871201</v>
      </c>
      <c r="D17" s="32" t="n">
        <f aca="true">D16*(1-$B$5)+IF(A17-Inputs!B17&lt;1,0,OFFSET(C17,-Inputs!B17,0)*(1-$B$5)^Inputs!B17)</f>
        <v>6.8094</v>
      </c>
      <c r="E17" s="15" t="n">
        <f aca="false">IF(D17&gt;0,F17/D17,0)</f>
        <v>152.418803418803</v>
      </c>
      <c r="F17" s="15" t="n">
        <f aca="true">F16*(1-$B$5)*(1+$B$6)+IF(A17-Inputs!B17&lt;1,0,OFFSET(C17,-Inputs!B17,0)*(1-$B$5)^Inputs!B17)*$B$3</f>
        <v>1037.8806</v>
      </c>
      <c r="G17" s="15" t="n">
        <f aca="false">F17*$B$4</f>
        <v>934.09254</v>
      </c>
      <c r="H17" s="15" t="n">
        <f aca="false">$B$9*B17*$B$7</f>
        <v>175.454058871201</v>
      </c>
      <c r="I17" s="15" t="n">
        <f aca="false">$B$8</f>
        <v>7576</v>
      </c>
      <c r="J17" s="15" t="n">
        <f aca="false">G17-H17-I17</f>
        <v>-6817.3615188712</v>
      </c>
      <c r="K17" s="15" t="n">
        <f aca="false">K16+J17</f>
        <v>-13732.8995188712</v>
      </c>
      <c r="L17" s="15" t="n">
        <f aca="false">MIN(J17:J51)</f>
        <v>-6817.3615188712</v>
      </c>
    </row>
    <row r="18" customFormat="false" ht="15" hidden="false" customHeight="false" outlineLevel="0" collapsed="false">
      <c r="A18" s="0" t="n">
        <v>3</v>
      </c>
      <c r="B18" s="22" t="n">
        <f aca="false">IF(Inputs!B22=0,1,1/(1+EXP(-Inputs!B22*(A18-Inputs!B21))))</f>
        <v>0.880797077977882</v>
      </c>
      <c r="C18" s="32" t="n">
        <f aca="false">IF(A18-Inputs!B23&lt;1,0,$B$9*IF(Inputs!B22=0,1,1/(1+EXP(-Inputs!B22*(A18-Inputs!B23-Inputs!B21)))))</f>
        <v>2.11391298714692</v>
      </c>
      <c r="D18" s="32" t="n">
        <f aca="true">D17*(1-$B$5)+IF(A18-Inputs!B17&lt;1,0,OFFSET(C18,-Inputs!B17,0)*(1-$B$5)^Inputs!B17)</f>
        <v>8.30702237105065</v>
      </c>
      <c r="E18" s="15" t="n">
        <f aca="false">IF(D18&gt;0,F18/D18,0)</f>
        <v>155.815882381433</v>
      </c>
      <c r="F18" s="15" t="n">
        <f aca="true">F17*(1-$B$5)*(1+$B$6)+IF(A18-Inputs!B17&lt;1,0,OFFSET(C18,-Inputs!B17,0)*(1-$B$5)^Inputs!B17)*$B$3</f>
        <v>1294.36602070756</v>
      </c>
      <c r="G18" s="15" t="n">
        <f aca="false">F18*$B$4</f>
        <v>1164.9294186368</v>
      </c>
      <c r="H18" s="15" t="n">
        <f aca="false">$B$9*B18*$B$7</f>
        <v>211.391298714692</v>
      </c>
      <c r="I18" s="15" t="n">
        <f aca="false">$B$8</f>
        <v>7576</v>
      </c>
      <c r="J18" s="15" t="n">
        <f aca="false">G18-H18-I18</f>
        <v>-6622.46188007789</v>
      </c>
      <c r="K18" s="15" t="n">
        <f aca="false">K17+J18</f>
        <v>-20355.3613989491</v>
      </c>
      <c r="L18" s="15" t="n">
        <f aca="false">MIN(J18:J51)</f>
        <v>-6622.46188007789</v>
      </c>
    </row>
    <row r="19" customFormat="false" ht="15" hidden="false" customHeight="false" outlineLevel="0" collapsed="false">
      <c r="A19" s="0" t="n">
        <v>4</v>
      </c>
      <c r="B19" s="22" t="n">
        <f aca="false">IF(Inputs!B22=0,1,1/(1+EXP(-Inputs!B22*(A19-Inputs!B21))))</f>
        <v>0.952574126822433</v>
      </c>
      <c r="C19" s="32" t="n">
        <f aca="false">IF(A19-Inputs!B23&lt;1,0,$B$9*IF(Inputs!B22=0,1,1/(1+EXP(-Inputs!B22*(A19-Inputs!B23-Inputs!B21)))))</f>
        <v>2.28617790437384</v>
      </c>
      <c r="D19" s="32" t="n">
        <f aca="true">D18*(1-$B$5)+IF(A19-Inputs!B17&lt;1,0,OFFSET(C19,-Inputs!B17,0)*(1-$B$5)^Inputs!B17)</f>
        <v>10.1083072974516</v>
      </c>
      <c r="E19" s="15" t="n">
        <f aca="false">IF(D19&gt;0,F19/D19,0)</f>
        <v>158.490313850393</v>
      </c>
      <c r="F19" s="15" t="n">
        <f aca="true">F18*(1-$B$5)*(1+$B$6)+IF(A19-Inputs!B17&lt;1,0,OFFSET(C19,-Inputs!B17,0)*(1-$B$5)^Inputs!B17)*$B$3</f>
        <v>1602.06879606933</v>
      </c>
      <c r="G19" s="15" t="n">
        <f aca="false">F19*$B$4</f>
        <v>1441.86191646239</v>
      </c>
      <c r="H19" s="15" t="n">
        <f aca="false">$B$9*B19*$B$7</f>
        <v>228.617790437384</v>
      </c>
      <c r="I19" s="15" t="n">
        <f aca="false">$B$8</f>
        <v>7576</v>
      </c>
      <c r="J19" s="15" t="n">
        <f aca="false">G19-H19-I19</f>
        <v>-6362.75587397499</v>
      </c>
      <c r="K19" s="15" t="n">
        <f aca="false">K18+J19</f>
        <v>-26718.1172729241</v>
      </c>
      <c r="L19" s="15" t="n">
        <f aca="false">MIN(J19:J51)</f>
        <v>-6362.75587397499</v>
      </c>
    </row>
    <row r="20" customFormat="false" ht="15" hidden="false" customHeight="false" outlineLevel="0" collapsed="false">
      <c r="A20" s="0" t="n">
        <v>5</v>
      </c>
      <c r="B20" s="22" t="n">
        <f aca="false">IF(Inputs!B22=0,1,1/(1+EXP(-Inputs!B22*(A20-Inputs!B21))))</f>
        <v>0.982013790037909</v>
      </c>
      <c r="C20" s="32" t="n">
        <f aca="false">IF(A20-Inputs!B23&lt;1,0,$B$9*IF(Inputs!B22=0,1,1/(1+EXP(-Inputs!B22*(A20-Inputs!B23-Inputs!B21)))))</f>
        <v>2.35683309609098</v>
      </c>
      <c r="D20" s="32" t="n">
        <f aca="true">D19*(1-$B$5)+IF(A20-Inputs!B17&lt;1,0,OFFSET(C20,-Inputs!B17,0)*(1-$B$5)^Inputs!B17)</f>
        <v>12.0226506457707</v>
      </c>
      <c r="E20" s="15" t="n">
        <f aca="false">IF(D20&gt;0,F20/D20,0)</f>
        <v>160.428838272012</v>
      </c>
      <c r="F20" s="15" t="n">
        <f aca="true">F19*(1-$B$5)*(1+$B$6)+IF(A20-Inputs!B17&lt;1,0,OFFSET(C20,-Inputs!B17,0)*(1-$B$5)^Inputs!B17)*$B$3</f>
        <v>1928.77987605125</v>
      </c>
      <c r="G20" s="15" t="n">
        <f aca="false">F20*$B$4</f>
        <v>1735.90188844613</v>
      </c>
      <c r="H20" s="15" t="n">
        <f aca="false">$B$9*B20*$B$7</f>
        <v>235.683309609098</v>
      </c>
      <c r="I20" s="15" t="n">
        <f aca="false">$B$8</f>
        <v>7576</v>
      </c>
      <c r="J20" s="15" t="n">
        <f aca="false">G20-H20-I20</f>
        <v>-6075.78142116297</v>
      </c>
      <c r="K20" s="15" t="n">
        <f aca="false">K19+J20</f>
        <v>-32793.8986940871</v>
      </c>
      <c r="L20" s="15" t="n">
        <f aca="false">MIN(J20:J51)</f>
        <v>-6075.78142116297</v>
      </c>
    </row>
    <row r="21" customFormat="false" ht="15" hidden="false" customHeight="false" outlineLevel="0" collapsed="false">
      <c r="A21" s="0" t="n">
        <v>6</v>
      </c>
      <c r="B21" s="22" t="n">
        <f aca="false">IF(Inputs!B22=0,1,1/(1+EXP(-Inputs!B22*(A21-Inputs!B21))))</f>
        <v>0.993307149075715</v>
      </c>
      <c r="C21" s="32" t="n">
        <f aca="false">IF(A21-Inputs!B23&lt;1,0,$B$9*IF(Inputs!B22=0,1,1/(1+EXP(-Inputs!B22*(A21-Inputs!B23-Inputs!B21)))))</f>
        <v>2.38393715778172</v>
      </c>
      <c r="D21" s="32" t="n">
        <f aca="true">D20*(1-$B$5)+IF(A21-Inputs!B17&lt;1,0,OFFSET(C21,-Inputs!B17,0)*(1-$B$5)^Inputs!B17)</f>
        <v>13.9480992296058</v>
      </c>
      <c r="E21" s="15" t="n">
        <f aca="false">IF(D21&gt;0,F21/D21,0)</f>
        <v>161.833672965323</v>
      </c>
      <c r="F21" s="15" t="n">
        <f aca="true">F20*(1-$B$5)*(1+$B$6)+IF(A21-Inputs!B17&lt;1,0,OFFSET(C21,-Inputs!B17,0)*(1-$B$5)^Inputs!B17)*$B$3</f>
        <v>2257.27212921191</v>
      </c>
      <c r="G21" s="15" t="n">
        <f aca="false">F21*$B$4</f>
        <v>2031.54491629072</v>
      </c>
      <c r="H21" s="15" t="n">
        <f aca="false">$B$9*B21*$B$7</f>
        <v>238.393715778172</v>
      </c>
      <c r="I21" s="15" t="n">
        <f aca="false">$B$8</f>
        <v>7576</v>
      </c>
      <c r="J21" s="15" t="n">
        <f aca="false">G21-H21-I21</f>
        <v>-5782.84879948746</v>
      </c>
      <c r="K21" s="15" t="n">
        <f aca="false">K20+J21</f>
        <v>-38576.7474935745</v>
      </c>
      <c r="L21" s="15" t="n">
        <f aca="false">MIN(J21:J51)</f>
        <v>-5782.84879948746</v>
      </c>
    </row>
    <row r="22" customFormat="false" ht="15" hidden="false" customHeight="false" outlineLevel="0" collapsed="false">
      <c r="A22" s="0" t="n">
        <v>7</v>
      </c>
      <c r="B22" s="22" t="n">
        <f aca="false">IF(Inputs!B22=0,1,1/(1+EXP(-Inputs!B22*(A22-Inputs!B21))))</f>
        <v>0.997527376843365</v>
      </c>
      <c r="C22" s="32" t="n">
        <f aca="false">IF(A22-Inputs!B23&lt;1,0,$B$9*IF(Inputs!B22=0,1,1/(1+EXP(-Inputs!B22*(A22-Inputs!B23-Inputs!B21)))))</f>
        <v>2.39406570442408</v>
      </c>
      <c r="D22" s="32" t="n">
        <f aca="true">D21*(1-$B$5)+IF(A22-Inputs!B17&lt;1,0,OFFSET(C22,-Inputs!B17,0)*(1-$B$5)^Inputs!B17)</f>
        <v>15.8420752957659</v>
      </c>
      <c r="E22" s="15" t="n">
        <f aca="false">IF(D22&gt;0,F22/D22,0)</f>
        <v>162.87971969811</v>
      </c>
      <c r="F22" s="15" t="n">
        <f aca="true">F21*(1-$B$5)*(1+$B$6)+IF(A22-Inputs!B17&lt;1,0,OFFSET(C22,-Inputs!B17,0)*(1-$B$5)^Inputs!B17)*$B$3</f>
        <v>2580.35278361071</v>
      </c>
      <c r="G22" s="15" t="n">
        <f aca="false">F22*$B$4</f>
        <v>2322.31750524964</v>
      </c>
      <c r="H22" s="15" t="n">
        <f aca="false">$B$9*B22*$B$7</f>
        <v>239.406570442408</v>
      </c>
      <c r="I22" s="15" t="n">
        <f aca="false">$B$8</f>
        <v>7576</v>
      </c>
      <c r="J22" s="15" t="n">
        <f aca="false">G22-H22-I22</f>
        <v>-5493.08906519277</v>
      </c>
      <c r="K22" s="15" t="n">
        <f aca="false">K21+J22</f>
        <v>-44069.8365587673</v>
      </c>
      <c r="L22" s="15" t="n">
        <f aca="false">MIN(J22:J51)</f>
        <v>-5493.08906519277</v>
      </c>
    </row>
    <row r="23" customFormat="false" ht="15" hidden="false" customHeight="false" outlineLevel="0" collapsed="false">
      <c r="A23" s="0" t="n">
        <v>8</v>
      </c>
      <c r="B23" s="22" t="n">
        <f aca="false">IF(Inputs!B22=0,1,1/(1+EXP(-Inputs!B22*(A23-Inputs!B21))))</f>
        <v>0.999088948805599</v>
      </c>
      <c r="C23" s="32" t="n">
        <f aca="false">IF(A23-Inputs!B23&lt;1,0,$B$9*IF(Inputs!B22=0,1,1/(1+EXP(-Inputs!B22*(A23-Inputs!B23-Inputs!B21)))))</f>
        <v>2.39781347713344</v>
      </c>
      <c r="D23" s="32" t="n">
        <f aca="true">D22*(1-$B$5)+IF(A23-Inputs!B17&lt;1,0,OFFSET(C23,-Inputs!B17,0)*(1-$B$5)^Inputs!B17)</f>
        <v>17.6890567701843</v>
      </c>
      <c r="E23" s="15" t="n">
        <f aca="false">IF(D23&gt;0,F23/D23,0)</f>
        <v>163.683198524692</v>
      </c>
      <c r="F23" s="15" t="n">
        <f aca="true">F22*(1-$B$5)*(1+$B$6)+IF(A23-Inputs!B17&lt;1,0,OFFSET(C23,-Inputs!B17,0)*(1-$B$5)^Inputs!B17)*$B$3</f>
        <v>2895.40139102863</v>
      </c>
      <c r="G23" s="15" t="n">
        <f aca="false">F23*$B$4</f>
        <v>2605.86125192576</v>
      </c>
      <c r="H23" s="15" t="n">
        <f aca="false">$B$9*B23*$B$7</f>
        <v>239.781347713344</v>
      </c>
      <c r="I23" s="15" t="n">
        <f aca="false">$B$8</f>
        <v>7576</v>
      </c>
      <c r="J23" s="15" t="n">
        <f aca="false">G23-H23-I23</f>
        <v>-5209.92009578758</v>
      </c>
      <c r="K23" s="15" t="n">
        <f aca="false">K22+J23</f>
        <v>-49279.7566545549</v>
      </c>
      <c r="L23" s="15" t="n">
        <f aca="false">MIN(J23:J51)</f>
        <v>-5209.92009578758</v>
      </c>
    </row>
    <row r="24" customFormat="false" ht="15" hidden="false" customHeight="false" outlineLevel="0" collapsed="false">
      <c r="A24" s="0" t="n">
        <v>9</v>
      </c>
      <c r="B24" s="22" t="n">
        <f aca="false">IF(Inputs!B22=0,1,1/(1+EXP(-Inputs!B22*(A24-Inputs!B21))))</f>
        <v>0.999664649869534</v>
      </c>
      <c r="C24" s="32" t="n">
        <f aca="false">IF(A24-Inputs!B23&lt;1,0,$B$9*IF(Inputs!B22=0,1,1/(1+EXP(-Inputs!B22*(A24-Inputs!B23-Inputs!B21)))))</f>
        <v>2.39919515968688</v>
      </c>
      <c r="D24" s="32" t="n">
        <f aca="true">D23*(1-$B$5)+IF(A24-Inputs!B17&lt;1,0,OFFSET(C24,-Inputs!B17,0)*(1-$B$5)^Inputs!B17)</f>
        <v>19.4842641398982</v>
      </c>
      <c r="E24" s="15" t="n">
        <f aca="false">IF(D24&gt;0,F24/D24,0)</f>
        <v>164.317876703809</v>
      </c>
      <c r="F24" s="15" t="n">
        <f aca="true">F23*(1-$B$5)*(1+$B$6)+IF(A24-Inputs!B17&lt;1,0,OFFSET(C24,-Inputs!B17,0)*(1-$B$5)^Inputs!B17)*$B$3</f>
        <v>3201.61291260425</v>
      </c>
      <c r="G24" s="15" t="n">
        <f aca="false">F24*$B$4</f>
        <v>2881.45162134383</v>
      </c>
      <c r="H24" s="15" t="n">
        <f aca="false">$B$9*B24*$B$7</f>
        <v>239.919515968688</v>
      </c>
      <c r="I24" s="15" t="n">
        <f aca="false">$B$8</f>
        <v>7576</v>
      </c>
      <c r="J24" s="15" t="n">
        <f aca="false">G24-H24-I24</f>
        <v>-4934.46789462486</v>
      </c>
      <c r="K24" s="15" t="n">
        <f aca="false">K23+J24</f>
        <v>-54214.2245491797</v>
      </c>
      <c r="L24" s="15" t="n">
        <f aca="false">MIN(J24:J51)</f>
        <v>-4934.46789462486</v>
      </c>
    </row>
    <row r="25" customFormat="false" ht="15" hidden="false" customHeight="false" outlineLevel="0" collapsed="false">
      <c r="A25" s="0" t="n">
        <v>10</v>
      </c>
      <c r="B25" s="22" t="n">
        <f aca="false">IF(Inputs!B22=0,1,1/(1+EXP(-Inputs!B22*(A25-Inputs!B21))))</f>
        <v>0.999876605424014</v>
      </c>
      <c r="C25" s="32" t="n">
        <f aca="false">IF(A25-Inputs!B23&lt;1,0,$B$9*IF(Inputs!B22=0,1,1/(1+EXP(-Inputs!B22*(A25-Inputs!B23-Inputs!B21)))))</f>
        <v>2.39970385301763</v>
      </c>
      <c r="D25" s="32" t="n">
        <f aca="true">D24*(1-$B$5)+IF(A25-Inputs!B17&lt;1,0,OFFSET(C25,-Inputs!B17,0)*(1-$B$5)^Inputs!B17)</f>
        <v>21.2269555205975</v>
      </c>
      <c r="E25" s="15" t="n">
        <f aca="false">IF(D25&gt;0,F25/D25,0)</f>
        <v>164.831201740564</v>
      </c>
      <c r="F25" s="15" t="n">
        <f aca="true">F24*(1-$B$5)*(1+$B$6)+IF(A25-Inputs!B17&lt;1,0,OFFSET(C25,-Inputs!B17,0)*(1-$B$5)^Inputs!B17)*$B$3</f>
        <v>3498.86458775359</v>
      </c>
      <c r="G25" s="15" t="n">
        <f aca="false">F25*$B$4</f>
        <v>3148.97812897823</v>
      </c>
      <c r="H25" s="15" t="n">
        <f aca="false">$B$9*B25*$B$7</f>
        <v>239.970385301763</v>
      </c>
      <c r="I25" s="15" t="n">
        <f aca="false">$B$8</f>
        <v>7576</v>
      </c>
      <c r="J25" s="15" t="n">
        <f aca="false">G25-H25-I25</f>
        <v>-4666.99225632353</v>
      </c>
      <c r="K25" s="15" t="n">
        <f aca="false">K24+J25</f>
        <v>-58881.2168055032</v>
      </c>
      <c r="L25" s="15" t="n">
        <f aca="false">MIN(J25:J51)</f>
        <v>-4666.99225632353</v>
      </c>
    </row>
    <row r="26" customFormat="false" ht="15" hidden="false" customHeight="false" outlineLevel="0" collapsed="false">
      <c r="A26" s="0" t="n">
        <v>11</v>
      </c>
      <c r="B26" s="22" t="n">
        <f aca="false">IF(Inputs!B22=0,1,1/(1+EXP(-Inputs!B22*(A26-Inputs!B21))))</f>
        <v>0.999954602131298</v>
      </c>
      <c r="C26" s="32" t="n">
        <f aca="false">IF(A26-Inputs!B23&lt;1,0,$B$9*IF(Inputs!B22=0,1,1/(1+EXP(-Inputs!B22*(A26-Inputs!B23-Inputs!B21)))))</f>
        <v>2.39989104511511</v>
      </c>
      <c r="D26" s="32" t="n">
        <f aca="true">D25*(1-$B$5)+IF(A26-Inputs!B17&lt;1,0,OFFSET(C26,-Inputs!B17,0)*(1-$B$5)^Inputs!B17)</f>
        <v>22.9178595924067</v>
      </c>
      <c r="E26" s="15" t="n">
        <f aca="false">IF(D26&gt;0,F26/D26,0)</f>
        <v>165.254616709537</v>
      </c>
      <c r="F26" s="15" t="n">
        <f aca="true">F25*(1-$B$5)*(1+$B$6)+IF(A26-Inputs!B17&lt;1,0,OFFSET(C26,-Inputs!B17,0)*(1-$B$5)^Inputs!B17)*$B$3</f>
        <v>3787.28210274617</v>
      </c>
      <c r="G26" s="15" t="n">
        <f aca="false">F26*$B$4</f>
        <v>3408.55389247155</v>
      </c>
      <c r="H26" s="15" t="n">
        <f aca="false">$B$9*B26*$B$7</f>
        <v>239.989104511511</v>
      </c>
      <c r="I26" s="15" t="n">
        <f aca="false">$B$8</f>
        <v>7576</v>
      </c>
      <c r="J26" s="15" t="n">
        <f aca="false">G26-H26-I26</f>
        <v>-4407.43521203996</v>
      </c>
      <c r="K26" s="15" t="n">
        <f aca="false">K25+J26</f>
        <v>-63288.6520175432</v>
      </c>
      <c r="L26" s="15" t="n">
        <f aca="false">MIN(J26:J51)</f>
        <v>-4407.43521203996</v>
      </c>
    </row>
    <row r="27" customFormat="false" ht="15" hidden="false" customHeight="false" outlineLevel="0" collapsed="false">
      <c r="A27" s="0" t="n">
        <v>12</v>
      </c>
      <c r="B27" s="22" t="n">
        <f aca="false">IF(Inputs!B22=0,1,1/(1+EXP(-Inputs!B22*(A27-Inputs!B21))))</f>
        <v>0.999983298578152</v>
      </c>
      <c r="C27" s="32" t="n">
        <f aca="false">IF(A27-Inputs!B23&lt;1,0,$B$9*IF(Inputs!B22=0,1,1/(1+EXP(-Inputs!B22*(A27-Inputs!B23-Inputs!B21)))))</f>
        <v>2.39995991658757</v>
      </c>
      <c r="D27" s="32" t="n">
        <f aca="true">D26*(1-$B$5)+IF(A27-Inputs!B17&lt;1,0,OFFSET(C27,-Inputs!B17,0)*(1-$B$5)^Inputs!B17)</f>
        <v>24.5582181183962</v>
      </c>
      <c r="E27" s="15" t="n">
        <f aca="false">IF(D27&gt;0,F27/D27,0)</f>
        <v>165.60964476665</v>
      </c>
      <c r="F27" s="15" t="n">
        <f aca="true">F26*(1-$B$5)*(1+$B$6)+IF(A27-Inputs!B17&lt;1,0,OFFSET(C27,-Inputs!B17,0)*(1-$B$5)^Inputs!B17)*$B$3</f>
        <v>4067.0777786895</v>
      </c>
      <c r="G27" s="15" t="n">
        <f aca="false">F27*$B$4</f>
        <v>3660.37000082055</v>
      </c>
      <c r="H27" s="15" t="n">
        <f aca="false">$B$9*B27*$B$7</f>
        <v>239.995991658756</v>
      </c>
      <c r="I27" s="15" t="n">
        <f aca="false">$B$8</f>
        <v>7576</v>
      </c>
      <c r="J27" s="15" t="n">
        <f aca="false">G27-H27-I27</f>
        <v>-4155.62599083821</v>
      </c>
      <c r="K27" s="15" t="n">
        <f aca="false">K26+J27</f>
        <v>-67444.2780083814</v>
      </c>
      <c r="L27" s="15" t="n">
        <f aca="false">MIN(J27:J51)</f>
        <v>-4155.62599083821</v>
      </c>
    </row>
    <row r="28" customFormat="false" ht="15" hidden="false" customHeight="false" outlineLevel="0" collapsed="false">
      <c r="A28" s="0" t="n">
        <v>13</v>
      </c>
      <c r="B28" s="22" t="n">
        <f aca="false">IF(Inputs!B22=0,1,1/(1+EXP(-Inputs!B22*(A28-Inputs!B21))))</f>
        <v>0.999993855825398</v>
      </c>
      <c r="C28" s="32" t="n">
        <f aca="false">IF(A28-Inputs!B23&lt;1,0,$B$9*IF(Inputs!B22=0,1,1/(1+EXP(-Inputs!B22*(A28-Inputs!B23-Inputs!B21)))))</f>
        <v>2.39998525398095</v>
      </c>
      <c r="D28" s="32" t="n">
        <f aca="true">D27*(1-$B$5)+IF(A28-Inputs!B17&lt;1,0,OFFSET(C28,-Inputs!B17,0)*(1-$B$5)^Inputs!B17)</f>
        <v>26.1494326939342</v>
      </c>
      <c r="E28" s="15" t="n">
        <f aca="false">IF(D28&gt;0,F28/D28,0)</f>
        <v>165.911472162124</v>
      </c>
      <c r="F28" s="15" t="n">
        <f aca="true">F27*(1-$B$5)*(1+$B$6)+IF(A28-Inputs!B17&lt;1,0,OFFSET(C28,-Inputs!B17,0)*(1-$B$5)^Inputs!B17)*$B$3</f>
        <v>4338.49087445502</v>
      </c>
      <c r="G28" s="15" t="n">
        <f aca="false">F28*$B$4</f>
        <v>3904.64178700951</v>
      </c>
      <c r="H28" s="15" t="n">
        <f aca="false">$B$9*B28*$B$7</f>
        <v>239.998525398095</v>
      </c>
      <c r="I28" s="15" t="n">
        <f aca="false">$B$8</f>
        <v>7576</v>
      </c>
      <c r="J28" s="15" t="n">
        <f aca="false">G28-H28-I28</f>
        <v>-3911.35673838858</v>
      </c>
      <c r="K28" s="15" t="n">
        <f aca="false">K27+J28</f>
        <v>-71355.63474677</v>
      </c>
      <c r="L28" s="15" t="n">
        <f aca="false">MIN(J28:J51)</f>
        <v>-3911.35673838858</v>
      </c>
    </row>
    <row r="29" customFormat="false" ht="15" hidden="false" customHeight="false" outlineLevel="0" collapsed="false">
      <c r="A29" s="0" t="n">
        <v>14</v>
      </c>
      <c r="B29" s="22" t="n">
        <f aca="false">IF(Inputs!B22=0,1,1/(1+EXP(-Inputs!B22*(A29-Inputs!B21))))</f>
        <v>0.999997739675702</v>
      </c>
      <c r="C29" s="32" t="n">
        <f aca="false">IF(A29-Inputs!B23&lt;1,0,$B$9*IF(Inputs!B22=0,1,1/(1+EXP(-Inputs!B22*(A29-Inputs!B23-Inputs!B21)))))</f>
        <v>2.39999457522169</v>
      </c>
      <c r="D29" s="32" t="n">
        <f aca="true">D28*(1-$B$5)+IF(A29-Inputs!B17&lt;1,0,OFFSET(C29,-Inputs!B17,0)*(1-$B$5)^Inputs!B17)</f>
        <v>27.6929354094777</v>
      </c>
      <c r="E29" s="15" t="n">
        <f aca="false">IF(D29&gt;0,F29/D29,0)</f>
        <v>166.171106921787</v>
      </c>
      <c r="F29" s="15" t="n">
        <f aca="true">F28*(1-$B$5)*(1+$B$6)+IF(A29-Inputs!B17&lt;1,0,OFFSET(C29,-Inputs!B17,0)*(1-$B$5)^Inputs!B17)*$B$3</f>
        <v>4601.76573090646</v>
      </c>
      <c r="G29" s="15" t="n">
        <f aca="false">F29*$B$4</f>
        <v>4141.58915781582</v>
      </c>
      <c r="H29" s="15" t="n">
        <f aca="false">$B$9*B29*$B$7</f>
        <v>239.999457522168</v>
      </c>
      <c r="I29" s="15" t="n">
        <f aca="false">$B$8</f>
        <v>7576</v>
      </c>
      <c r="J29" s="15" t="n">
        <f aca="false">G29-H29-I29</f>
        <v>-3674.41029970635</v>
      </c>
      <c r="K29" s="15" t="n">
        <f aca="false">K28+J29</f>
        <v>-75030.0450464763</v>
      </c>
      <c r="L29" s="15" t="n">
        <f aca="false">MIN(J29:J51)</f>
        <v>-3674.41029970635</v>
      </c>
    </row>
    <row r="30" customFormat="false" ht="15" hidden="false" customHeight="false" outlineLevel="0" collapsed="false">
      <c r="A30" s="0" t="n">
        <v>15</v>
      </c>
      <c r="B30" s="22" t="n">
        <f aca="false">IF(Inputs!B22=0,1,1/(1+EXP(-Inputs!B22*(A30-Inputs!B21))))</f>
        <v>0.999999168471972</v>
      </c>
      <c r="C30" s="32" t="n">
        <f aca="false">IF(A30-Inputs!B23&lt;1,0,$B$9*IF(Inputs!B22=0,1,1/(1+EXP(-Inputs!B22*(A30-Inputs!B23-Inputs!B21)))))</f>
        <v>2.39999800433273</v>
      </c>
      <c r="D30" s="32" t="n">
        <f aca="true">D29*(1-$B$5)+IF(A30-Inputs!B17&lt;1,0,OFFSET(C30,-Inputs!B17,0)*(1-$B$5)^Inputs!B17)</f>
        <v>29.1901420851584</v>
      </c>
      <c r="E30" s="15" t="n">
        <f aca="false">IF(D30&gt;0,F30/D30,0)</f>
        <v>166.396718985652</v>
      </c>
      <c r="F30" s="15" t="n">
        <f aca="true">F29*(1-$B$5)*(1+$B$6)+IF(A30-Inputs!B17&lt;1,0,OFFSET(C30,-Inputs!B17,0)*(1-$B$5)^Inputs!B17)*$B$3</f>
        <v>4857.14386969536</v>
      </c>
      <c r="G30" s="15" t="n">
        <f aca="false">F30*$B$4</f>
        <v>4371.42948272582</v>
      </c>
      <c r="H30" s="15" t="n">
        <f aca="false">$B$9*B30*$B$7</f>
        <v>239.999800433273</v>
      </c>
      <c r="I30" s="15" t="n">
        <f aca="false">$B$8</f>
        <v>7576</v>
      </c>
      <c r="J30" s="15" t="n">
        <f aca="false">G30-H30-I30</f>
        <v>-3444.57031770745</v>
      </c>
      <c r="K30" s="15" t="n">
        <f aca="false">K29+J30</f>
        <v>-78474.6153641838</v>
      </c>
      <c r="L30" s="15" t="n">
        <f aca="false">MIN(J30:J51)</f>
        <v>-3444.57031770745</v>
      </c>
    </row>
    <row r="31" customFormat="false" ht="15" hidden="false" customHeight="false" outlineLevel="0" collapsed="false">
      <c r="A31" s="0" t="n">
        <v>16</v>
      </c>
      <c r="B31" s="22" t="n">
        <f aca="false">IF(Inputs!B22=0,1,1/(1+EXP(-Inputs!B22*(A31-Inputs!B21))))</f>
        <v>0.999999694097773</v>
      </c>
      <c r="C31" s="32" t="n">
        <f aca="false">IF(A31-Inputs!B23&lt;1,0,$B$9*IF(Inputs!B22=0,1,1/(1+EXP(-Inputs!B22*(A31-Inputs!B23-Inputs!B21)))))</f>
        <v>2.39999926583466</v>
      </c>
      <c r="D31" s="32" t="n">
        <f aca="true">D30*(1-$B$5)+IF(A31-Inputs!B17&lt;1,0,OFFSET(C31,-Inputs!B17,0)*(1-$B$5)^Inputs!B17)</f>
        <v>30.6424358868064</v>
      </c>
      <c r="E31" s="15" t="n">
        <f aca="false">IF(D31&gt;0,F31/D31,0)</f>
        <v>166.594498078162</v>
      </c>
      <c r="F31" s="15" t="n">
        <f aca="true">F30*(1-$B$5)*(1+$B$6)+IF(A31-Inputs!B17&lt;1,0,OFFSET(C31,-Inputs!B17,0)*(1-$B$5)^Inputs!B17)*$B$3</f>
        <v>5104.86122645476</v>
      </c>
      <c r="G31" s="15" t="n">
        <f aca="false">F31*$B$4</f>
        <v>4594.37510380929</v>
      </c>
      <c r="H31" s="15" t="n">
        <f aca="false">$B$9*B31*$B$7</f>
        <v>239.999926583465</v>
      </c>
      <c r="I31" s="15" t="n">
        <f aca="false">$B$8</f>
        <v>7576</v>
      </c>
      <c r="J31" s="15" t="n">
        <f aca="false">G31-H31-I31</f>
        <v>-3221.62482277418</v>
      </c>
      <c r="K31" s="15" t="n">
        <f aca="false">K30+J31</f>
        <v>-81696.240186958</v>
      </c>
      <c r="L31" s="15" t="n">
        <f aca="false">MIN(J31:J51)</f>
        <v>-3221.62482277418</v>
      </c>
    </row>
    <row r="32" customFormat="false" ht="15" hidden="false" customHeight="false" outlineLevel="0" collapsed="false">
      <c r="A32" s="0" t="n">
        <v>17</v>
      </c>
      <c r="B32" s="22" t="n">
        <f aca="false">IF(Inputs!B22=0,1,1/(1+EXP(-Inputs!B22*(A32-Inputs!B21))))</f>
        <v>0.999999887464838</v>
      </c>
      <c r="C32" s="32" t="n">
        <f aca="false">IF(A32-Inputs!B23&lt;1,0,$B$9*IF(Inputs!B22=0,1,1/(1+EXP(-Inputs!B22*(A32-Inputs!B23-Inputs!B21)))))</f>
        <v>2.39999972991561</v>
      </c>
      <c r="D32" s="32" t="n">
        <f aca="true">D31*(1-$B$5)+IF(A32-Inputs!B17&lt;1,0,OFFSET(C32,-Inputs!B17,0)*(1-$B$5)^Inputs!B17)</f>
        <v>32.0511620980619</v>
      </c>
      <c r="E32" s="15" t="n">
        <f aca="false">IF(D32&gt;0,F32/D32,0)</f>
        <v>166.769218943004</v>
      </c>
      <c r="F32" s="15" t="n">
        <f aca="true">F31*(1-$B$5)*(1+$B$6)+IF(A32-Inputs!B17&lt;1,0,OFFSET(C32,-Inputs!B17,0)*(1-$B$5)^Inputs!B17)*$B$3</f>
        <v>5345.1472693094</v>
      </c>
      <c r="G32" s="15" t="n">
        <f aca="false">F32*$B$4</f>
        <v>4810.63254237846</v>
      </c>
      <c r="H32" s="15" t="n">
        <f aca="false">$B$9*B32*$B$7</f>
        <v>239.999972991561</v>
      </c>
      <c r="I32" s="15" t="n">
        <f aca="false">$B$8</f>
        <v>7576</v>
      </c>
      <c r="J32" s="15" t="n">
        <f aca="false">G32-H32-I32</f>
        <v>-3005.36743061311</v>
      </c>
      <c r="K32" s="15" t="n">
        <f aca="false">K31+J32</f>
        <v>-84701.6076175711</v>
      </c>
      <c r="L32" s="15" t="n">
        <f aca="false">MIN(J32:J51)</f>
        <v>-3005.36743061311</v>
      </c>
    </row>
    <row r="33" customFormat="false" ht="15" hidden="false" customHeight="false" outlineLevel="0" collapsed="false">
      <c r="A33" s="0" t="n">
        <v>18</v>
      </c>
      <c r="B33" s="22" t="n">
        <f aca="false">IF(Inputs!B22=0,1,1/(1+EXP(-Inputs!B22*(A33-Inputs!B21))))</f>
        <v>0.999999958600624</v>
      </c>
      <c r="C33" s="32" t="n">
        <f aca="false">IF(A33-Inputs!B23&lt;1,0,$B$9*IF(Inputs!B22=0,1,1/(1+EXP(-Inputs!B22*(A33-Inputs!B23-Inputs!B21)))))</f>
        <v>2.3999999006415</v>
      </c>
      <c r="D33" s="32" t="n">
        <f aca="true">D32*(1-$B$5)+IF(A33-Inputs!B17&lt;1,0,OFFSET(C33,-Inputs!B17,0)*(1-$B$5)^Inputs!B17)</f>
        <v>33.4176269731381</v>
      </c>
      <c r="E33" s="15" t="n">
        <f aca="false">IF(D33&gt;0,F33/D33,0)</f>
        <v>166.92462368555</v>
      </c>
      <c r="F33" s="15" t="n">
        <f aca="true">F32*(1-$B$5)*(1+$B$6)+IF(A33-Inputs!B17&lt;1,0,OFFSET(C33,-Inputs!B17,0)*(1-$B$5)^Inputs!B17)*$B$3</f>
        <v>5578.22480695518</v>
      </c>
      <c r="G33" s="15" t="n">
        <f aca="false">F33*$B$4</f>
        <v>5020.40232625966</v>
      </c>
      <c r="H33" s="15" t="n">
        <f aca="false">$B$9*B33*$B$7</f>
        <v>239.99999006415</v>
      </c>
      <c r="I33" s="15" t="n">
        <f aca="false">$B$8</f>
        <v>7576</v>
      </c>
      <c r="J33" s="15" t="n">
        <f aca="false">G33-H33-I33</f>
        <v>-2795.59766380449</v>
      </c>
      <c r="K33" s="15" t="n">
        <f aca="false">K32+J33</f>
        <v>-87497.2052813756</v>
      </c>
      <c r="L33" s="15" t="n">
        <f aca="false">MIN(J33:J51)</f>
        <v>-2795.59766380449</v>
      </c>
    </row>
    <row r="34" customFormat="false" ht="15" hidden="false" customHeight="false" outlineLevel="0" collapsed="false">
      <c r="A34" s="0" t="n">
        <v>19</v>
      </c>
      <c r="B34" s="22" t="n">
        <f aca="false">IF(Inputs!B22=0,1,1/(1+EXP(-Inputs!B22*(A34-Inputs!B21))))</f>
        <v>0.999999984770021</v>
      </c>
      <c r="C34" s="32" t="n">
        <f aca="false">IF(A34-Inputs!B23&lt;1,0,$B$9*IF(Inputs!B22=0,1,1/(1+EXP(-Inputs!B22*(A34-Inputs!B23-Inputs!B21)))))</f>
        <v>2.39999996344805</v>
      </c>
      <c r="D34" s="32" t="n">
        <f aca="true">D33*(1-$B$5)+IF(A34-Inputs!B17&lt;1,0,OFFSET(C34,-Inputs!B17,0)*(1-$B$5)^Inputs!B17)</f>
        <v>34.7430980675662</v>
      </c>
      <c r="E34" s="15" t="n">
        <f aca="false">IF(D34&gt;0,F34/D34,0)</f>
        <v>167.06368658232</v>
      </c>
      <c r="F34" s="15" t="n">
        <f aca="true">F33*(1-$B$5)*(1+$B$6)+IF(A34-Inputs!B17&lt;1,0,OFFSET(C34,-Inputs!B17,0)*(1-$B$5)^Inputs!B17)*$B$3</f>
        <v>5804.31004645868</v>
      </c>
      <c r="G34" s="15" t="n">
        <f aca="false">F34*$B$4</f>
        <v>5223.87904181282</v>
      </c>
      <c r="H34" s="15" t="n">
        <f aca="false">$B$9*B34*$B$7</f>
        <v>239.999996344805</v>
      </c>
      <c r="I34" s="15" t="n">
        <f aca="false">$B$8</f>
        <v>7576</v>
      </c>
      <c r="J34" s="15" t="n">
        <f aca="false">G34-H34-I34</f>
        <v>-2592.12095453199</v>
      </c>
      <c r="K34" s="15" t="n">
        <f aca="false">K33+J34</f>
        <v>-90089.3262359076</v>
      </c>
      <c r="L34" s="15" t="n">
        <f aca="false">MIN(J34:J51)</f>
        <v>-2592.12095453199</v>
      </c>
    </row>
    <row r="35" customFormat="false" ht="15" hidden="false" customHeight="false" outlineLevel="0" collapsed="false">
      <c r="A35" s="0" t="n">
        <v>20</v>
      </c>
      <c r="B35" s="22" t="n">
        <f aca="false">IF(Inputs!B22=0,1,1/(1+EXP(-Inputs!B22*(A35-Inputs!B21))))</f>
        <v>0.999999994397204</v>
      </c>
      <c r="C35" s="32" t="n">
        <f aca="false">IF(A35-Inputs!B23&lt;1,0,$B$9*IF(Inputs!B22=0,1,1/(1+EXP(-Inputs!B22*(A35-Inputs!B23-Inputs!B21)))))</f>
        <v>2.39999998655329</v>
      </c>
      <c r="D35" s="32" t="n">
        <f aca="true">D34*(1-$B$5)+IF(A35-Inputs!B17&lt;1,0,OFFSET(C35,-Inputs!B17,0)*(1-$B$5)^Inputs!B17)</f>
        <v>36.0288050900839</v>
      </c>
      <c r="E35" s="15" t="n">
        <f aca="false">IF(D35&gt;0,F35/D35,0)</f>
        <v>167.188801405208</v>
      </c>
      <c r="F35" s="15" t="n">
        <f aca="true">F34*(1-$B$5)*(1+$B$6)+IF(A35-Inputs!B17&lt;1,0,OFFSET(C35,-Inputs!B17,0)*(1-$B$5)^Inputs!B17)*$B$3</f>
        <v>6023.61273907296</v>
      </c>
      <c r="G35" s="15" t="n">
        <f aca="false">F35*$B$4</f>
        <v>5421.25146516567</v>
      </c>
      <c r="H35" s="15" t="n">
        <f aca="false">$B$9*B35*$B$7</f>
        <v>239.999998655329</v>
      </c>
      <c r="I35" s="15" t="n">
        <f aca="false">$B$8</f>
        <v>7576</v>
      </c>
      <c r="J35" s="15" t="n">
        <f aca="false">G35-H35-I35</f>
        <v>-2394.74853348966</v>
      </c>
      <c r="K35" s="15" t="n">
        <f aca="false">K34+J35</f>
        <v>-92484.0747693972</v>
      </c>
      <c r="L35" s="15" t="n">
        <f aca="false">MIN(J35:J51)</f>
        <v>-2394.74853348966</v>
      </c>
    </row>
    <row r="36" customFormat="false" ht="15" hidden="false" customHeight="false" outlineLevel="0" collapsed="false">
      <c r="A36" s="0" t="n">
        <v>21</v>
      </c>
      <c r="B36" s="22" t="n">
        <f aca="false">IF(Inputs!B22=0,1,1/(1+EXP(-Inputs!B22*(A36-Inputs!B21))))</f>
        <v>0.999999997938846</v>
      </c>
      <c r="C36" s="32" t="n">
        <f aca="false">IF(A36-Inputs!B23&lt;1,0,$B$9*IF(Inputs!B22=0,1,1/(1+EXP(-Inputs!B22*(A36-Inputs!B23-Inputs!B21)))))</f>
        <v>2.39999999505323</v>
      </c>
      <c r="D36" s="32" t="n">
        <f aca="true">D35*(1-$B$5)+IF(A36-Inputs!B17&lt;1,0,OFFSET(C36,-Inputs!B17,0)*(1-$B$5)^Inputs!B17)</f>
        <v>37.275940924338</v>
      </c>
      <c r="E36" s="15" t="n">
        <f aca="false">IF(D36&gt;0,F36/D36,0)</f>
        <v>167.301916465498</v>
      </c>
      <c r="F36" s="15" t="n">
        <f aca="true">F35*(1-$B$5)*(1+$B$6)+IF(A36-Inputs!B17&lt;1,0,OFFSET(C36,-Inputs!B17,0)*(1-$B$5)^Inputs!B17)*$B$3</f>
        <v>6236.33635469645</v>
      </c>
      <c r="G36" s="15" t="n">
        <f aca="false">F36*$B$4</f>
        <v>5612.70271922681</v>
      </c>
      <c r="H36" s="15" t="n">
        <f aca="false">$B$9*B36*$B$7</f>
        <v>239.999999505323</v>
      </c>
      <c r="I36" s="15" t="n">
        <f aca="false">$B$8</f>
        <v>7576</v>
      </c>
      <c r="J36" s="15" t="n">
        <f aca="false">G36-H36-I36</f>
        <v>-2203.29728027852</v>
      </c>
      <c r="K36" s="15" t="n">
        <f aca="false">K35+J36</f>
        <v>-94687.3720496757</v>
      </c>
      <c r="L36" s="15" t="n">
        <f aca="false">MIN(J36:J51)</f>
        <v>-2203.29728027852</v>
      </c>
    </row>
    <row r="37" customFormat="false" ht="15" hidden="false" customHeight="false" outlineLevel="0" collapsed="false">
      <c r="A37" s="0" t="n">
        <v>22</v>
      </c>
      <c r="B37" s="22" t="n">
        <f aca="false">IF(Inputs!B22=0,1,1/(1+EXP(-Inputs!B22*(A37-Inputs!B21))))</f>
        <v>0.999999999241744</v>
      </c>
      <c r="C37" s="32" t="n">
        <f aca="false">IF(A37-Inputs!B23&lt;1,0,$B$9*IF(Inputs!B22=0,1,1/(1+EXP(-Inputs!B22*(A37-Inputs!B23-Inputs!B21)))))</f>
        <v>2.39999999818019</v>
      </c>
      <c r="D37" s="32" t="n">
        <f aca="true">D36*(1-$B$5)+IF(A37-Inputs!B17&lt;1,0,OFFSET(C37,-Inputs!B17,0)*(1-$B$5)^Inputs!B17)</f>
        <v>38.4856626918095</v>
      </c>
      <c r="E37" s="15" t="n">
        <f aca="false">IF(D37&gt;0,F37/D37,0)</f>
        <v>167.404633638172</v>
      </c>
      <c r="F37" s="15" t="n">
        <f aca="true">F36*(1-$B$5)*(1+$B$6)+IF(A37-Inputs!B17&lt;1,0,OFFSET(C37,-Inputs!B17,0)*(1-$B$5)^Inputs!B17)*$B$3</f>
        <v>6442.67826324464</v>
      </c>
      <c r="G37" s="15" t="n">
        <f aca="false">F37*$B$4</f>
        <v>5798.41043692017</v>
      </c>
      <c r="H37" s="15" t="n">
        <f aca="false">$B$9*B37*$B$7</f>
        <v>239.999999818019</v>
      </c>
      <c r="I37" s="15" t="n">
        <f aca="false">$B$8</f>
        <v>7576</v>
      </c>
      <c r="J37" s="15" t="n">
        <f aca="false">G37-H37-I37</f>
        <v>-2017.58956289785</v>
      </c>
      <c r="K37" s="15" t="n">
        <f aca="false">K36+J37</f>
        <v>-96704.9616125736</v>
      </c>
      <c r="L37" s="15" t="n">
        <f aca="false">MIN(J37:J51)</f>
        <v>-2017.58956289785</v>
      </c>
    </row>
    <row r="38" customFormat="false" ht="15" hidden="false" customHeight="false" outlineLevel="0" collapsed="false">
      <c r="A38" s="0" t="n">
        <v>23</v>
      </c>
      <c r="B38" s="22" t="n">
        <f aca="false">IF(Inputs!B22=0,1,1/(1+EXP(-Inputs!B22*(A38-Inputs!B21))))</f>
        <v>0.999999999721053</v>
      </c>
      <c r="C38" s="32" t="n">
        <f aca="false">IF(A38-Inputs!B23&lt;1,0,$B$9*IF(Inputs!B22=0,1,1/(1+EXP(-Inputs!B22*(A38-Inputs!B23-Inputs!B21)))))</f>
        <v>2.39999999933053</v>
      </c>
      <c r="D38" s="32" t="n">
        <f aca="true">D37*(1-$B$5)+IF(A38-Inputs!B17&lt;1,0,OFFSET(C38,-Inputs!B17,0)*(1-$B$5)^Inputs!B17)</f>
        <v>39.65909280929</v>
      </c>
      <c r="E38" s="15" t="n">
        <f aca="false">IF(D38&gt;0,F38/D38,0)</f>
        <v>167.498282096178</v>
      </c>
      <c r="F38" s="15" t="n">
        <f aca="true">F37*(1-$B$5)*(1+$B$6)+IF(A38-Inputs!B17&lt;1,0,OFFSET(C38,-Inputs!B17,0)*(1-$B$5)^Inputs!B17)*$B$3</f>
        <v>6642.82991504898</v>
      </c>
      <c r="G38" s="15" t="n">
        <f aca="false">F38*$B$4</f>
        <v>5978.54692354408</v>
      </c>
      <c r="H38" s="15" t="n">
        <f aca="false">$B$9*B38*$B$7</f>
        <v>239.999999933053</v>
      </c>
      <c r="I38" s="15" t="n">
        <f aca="false">$B$8</f>
        <v>7576</v>
      </c>
      <c r="J38" s="15" t="n">
        <f aca="false">G38-H38-I38</f>
        <v>-1837.45307638898</v>
      </c>
      <c r="K38" s="15" t="n">
        <f aca="false">K37+J38</f>
        <v>-98542.4146889626</v>
      </c>
      <c r="L38" s="15" t="n">
        <f aca="false">MIN(J38:J51)</f>
        <v>-1837.45307638898</v>
      </c>
    </row>
    <row r="39" customFormat="false" ht="15" hidden="false" customHeight="false" outlineLevel="0" collapsed="false">
      <c r="A39" s="0" t="n">
        <v>24</v>
      </c>
      <c r="B39" s="22" t="n">
        <f aca="false">IF(Inputs!B22=0,1,1/(1+EXP(-Inputs!B22*(A39-Inputs!B21))))</f>
        <v>0.999999999897381</v>
      </c>
      <c r="C39" s="32" t="n">
        <f aca="false">IF(A39-Inputs!B23&lt;1,0,$B$9*IF(Inputs!B22=0,1,1/(1+EXP(-Inputs!B22*(A39-Inputs!B23-Inputs!B21)))))</f>
        <v>2.39999999975371</v>
      </c>
      <c r="D39" s="32" t="n">
        <f aca="true">D38*(1-$B$5)+IF(A39-Inputs!B17&lt;1,0,OFFSET(C39,-Inputs!B17,0)*(1-$B$5)^Inputs!B17)</f>
        <v>40.7973200243619</v>
      </c>
      <c r="E39" s="15" t="n">
        <f aca="false">IF(D39&gt;0,F39/D39,0)</f>
        <v>167.583973981749</v>
      </c>
      <c r="F39" s="15" t="n">
        <f aca="true">F38*(1-$B$5)*(1+$B$6)+IF(A39-Inputs!B17&lt;1,0,OFFSET(C39,-Inputs!B17,0)*(1-$B$5)^Inputs!B17)*$B$3</f>
        <v>6836.97701748776</v>
      </c>
      <c r="G39" s="15" t="n">
        <f aca="false">F39*$B$4</f>
        <v>6153.27931573898</v>
      </c>
      <c r="H39" s="15" t="n">
        <f aca="false">$B$9*B39*$B$7</f>
        <v>239.999999975371</v>
      </c>
      <c r="I39" s="15" t="n">
        <f aca="false">$B$8</f>
        <v>7576</v>
      </c>
      <c r="J39" s="15" t="n">
        <f aca="false">G39-H39-I39</f>
        <v>-1662.72068423639</v>
      </c>
      <c r="K39" s="15" t="n">
        <f aca="false">K38+J39</f>
        <v>-100205.135373199</v>
      </c>
      <c r="L39" s="15" t="n">
        <f aca="false">MIN(J39:J51)</f>
        <v>-1662.72068423639</v>
      </c>
    </row>
    <row r="40" customFormat="false" ht="15" hidden="false" customHeight="false" outlineLevel="0" collapsed="false">
      <c r="A40" s="0" t="n">
        <v>25</v>
      </c>
      <c r="B40" s="22" t="n">
        <f aca="false">IF(Inputs!B22=0,1,1/(1+EXP(-Inputs!B22*(A40-Inputs!B21))))</f>
        <v>0.999999999962249</v>
      </c>
      <c r="C40" s="32" t="n">
        <f aca="false">IF(A40-Inputs!B23&lt;1,0,$B$9*IF(Inputs!B22=0,1,1/(1+EXP(-Inputs!B22*(A40-Inputs!B23-Inputs!B21)))))</f>
        <v>2.3999999999094</v>
      </c>
      <c r="D40" s="32" t="n">
        <f aca="true">D39*(1-$B$5)+IF(A40-Inputs!B17&lt;1,0,OFFSET(C40,-Inputs!B17,0)*(1-$B$5)^Inputs!B17)</f>
        <v>41.9014004233922</v>
      </c>
      <c r="E40" s="15" t="n">
        <f aca="false">IF(D40&gt;0,F40/D40,0)</f>
        <v>167.662646974461</v>
      </c>
      <c r="F40" s="15" t="n">
        <f aca="true">F39*(1-$B$5)*(1+$B$6)+IF(A40-Inputs!B17&lt;1,0,OFFSET(C40,-Inputs!B17,0)*(1-$B$5)^Inputs!B17)*$B$3</f>
        <v>7025.29970692275</v>
      </c>
      <c r="G40" s="15" t="n">
        <f aca="false">F40*$B$4</f>
        <v>6322.76973623048</v>
      </c>
      <c r="H40" s="15" t="n">
        <f aca="false">$B$9*B40*$B$7</f>
        <v>239.99999999094</v>
      </c>
      <c r="I40" s="15" t="n">
        <f aca="false">$B$8</f>
        <v>7576</v>
      </c>
      <c r="J40" s="15" t="n">
        <f aca="false">G40-H40-I40</f>
        <v>-1493.23026376046</v>
      </c>
      <c r="K40" s="15" t="n">
        <f aca="false">K39+J40</f>
        <v>-101698.365636959</v>
      </c>
      <c r="L40" s="15" t="n">
        <f aca="false">MIN(J40:J51)</f>
        <v>-1493.23026376046</v>
      </c>
    </row>
    <row r="41" customFormat="false" ht="15" hidden="false" customHeight="false" outlineLevel="0" collapsed="false">
      <c r="A41" s="0" t="n">
        <v>26</v>
      </c>
      <c r="B41" s="22" t="n">
        <f aca="false">IF(Inputs!B22=0,1,1/(1+EXP(-Inputs!B22*(A41-Inputs!B21))))</f>
        <v>0.999999999986112</v>
      </c>
      <c r="C41" s="32" t="n">
        <f aca="false">IF(A41-Inputs!B23&lt;1,0,$B$9*IF(Inputs!B22=0,1,1/(1+EXP(-Inputs!B22*(A41-Inputs!B23-Inputs!B21)))))</f>
        <v>2.39999999996667</v>
      </c>
      <c r="D41" s="32" t="n">
        <f aca="true">D40*(1-$B$5)+IF(A41-Inputs!B17&lt;1,0,OFFSET(C41,-Inputs!B17,0)*(1-$B$5)^Inputs!B17)</f>
        <v>42.9723584106025</v>
      </c>
      <c r="E41" s="15" t="n">
        <f aca="false">IF(D41&gt;0,F41/D41,0)</f>
        <v>167.735097218257</v>
      </c>
      <c r="F41" s="15" t="n">
        <f aca="true">F40*(1-$B$5)*(1+$B$6)+IF(A41-Inputs!B17&lt;1,0,OFFSET(C41,-Inputs!B17,0)*(1-$B$5)^Inputs!B17)*$B$3</f>
        <v>7207.97271570022</v>
      </c>
      <c r="G41" s="15" t="n">
        <f aca="false">F41*$B$4</f>
        <v>6487.1754441302</v>
      </c>
      <c r="H41" s="15" t="n">
        <f aca="false">$B$9*B41*$B$7</f>
        <v>239.999999996667</v>
      </c>
      <c r="I41" s="15" t="n">
        <f aca="false">$B$8</f>
        <v>7576</v>
      </c>
      <c r="J41" s="15" t="n">
        <f aca="false">G41-H41-I41</f>
        <v>-1328.82455586647</v>
      </c>
      <c r="K41" s="15" t="n">
        <f aca="false">K40+J41</f>
        <v>-103027.190192826</v>
      </c>
      <c r="L41" s="15" t="n">
        <f aca="false">MIN(J41:J51)</f>
        <v>-1328.82455586647</v>
      </c>
    </row>
    <row r="42" customFormat="false" ht="15" hidden="false" customHeight="false" outlineLevel="0" collapsed="false">
      <c r="A42" s="0" t="n">
        <v>27</v>
      </c>
      <c r="B42" s="22" t="n">
        <f aca="false">IF(Inputs!B22=0,1,1/(1+EXP(-Inputs!B22*(A42-Inputs!B21))))</f>
        <v>0.999999999994891</v>
      </c>
      <c r="C42" s="32" t="n">
        <f aca="false">IF(A42-Inputs!B23&lt;1,0,$B$9*IF(Inputs!B22=0,1,1/(1+EXP(-Inputs!B22*(A42-Inputs!B23-Inputs!B21)))))</f>
        <v>2.39999999998774</v>
      </c>
      <c r="D42" s="32" t="n">
        <f aca="true">D41*(1-$B$5)+IF(A42-Inputs!B17&lt;1,0,OFFSET(C42,-Inputs!B17,0)*(1-$B$5)^Inputs!B17)</f>
        <v>44.0111876582521</v>
      </c>
      <c r="E42" s="15" t="n">
        <f aca="false">IF(D42&gt;0,F42/D42,0)</f>
        <v>167.802005062207</v>
      </c>
      <c r="F42" s="15" t="n">
        <f aca="true">F41*(1-$B$5)*(1+$B$6)+IF(A42-Inputs!B17&lt;1,0,OFFSET(C42,-Inputs!B17,0)*(1-$B$5)^Inputs!B17)*$B$3</f>
        <v>7385.16553422375</v>
      </c>
      <c r="G42" s="15" t="n">
        <f aca="false">F42*$B$4</f>
        <v>6646.64898080137</v>
      </c>
      <c r="H42" s="15" t="n">
        <f aca="false">$B$9*B42*$B$7</f>
        <v>239.999999998774</v>
      </c>
      <c r="I42" s="15" t="n">
        <f aca="false">$B$8</f>
        <v>7576</v>
      </c>
      <c r="J42" s="15" t="n">
        <f aca="false">G42-H42-I42</f>
        <v>-1169.3510191974</v>
      </c>
      <c r="K42" s="15" t="n">
        <f aca="false">K41+J42</f>
        <v>-104196.541212023</v>
      </c>
      <c r="L42" s="15" t="n">
        <f aca="false">MIN(J42:J51)</f>
        <v>-1169.3510191974</v>
      </c>
    </row>
    <row r="43" customFormat="false" ht="15" hidden="false" customHeight="false" outlineLevel="0" collapsed="false">
      <c r="A43" s="0" t="n">
        <v>28</v>
      </c>
      <c r="B43" s="22" t="n">
        <f aca="false">IF(Inputs!B22=0,1,1/(1+EXP(-Inputs!B22*(A43-Inputs!B21))))</f>
        <v>0.99999999999812</v>
      </c>
      <c r="C43" s="32" t="n">
        <f aca="false">IF(A43-Inputs!B23&lt;1,0,$B$9*IF(Inputs!B22=0,1,1/(1+EXP(-Inputs!B22*(A43-Inputs!B23-Inputs!B21)))))</f>
        <v>2.39999999999549</v>
      </c>
      <c r="D43" s="32" t="n">
        <f aca="true">D42*(1-$B$5)+IF(A43-Inputs!B17&lt;1,0,OFFSET(C43,-Inputs!B17,0)*(1-$B$5)^Inputs!B17)</f>
        <v>45.0188520284927</v>
      </c>
      <c r="E43" s="15" t="n">
        <f aca="false">IF(D43&gt;0,F43/D43,0)</f>
        <v>167.863955380562</v>
      </c>
      <c r="F43" s="15" t="n">
        <f aca="true">F42*(1-$B$5)*(1+$B$6)+IF(A43-Inputs!B17&lt;1,0,OFFSET(C43,-Inputs!B17,0)*(1-$B$5)^Inputs!B17)*$B$3</f>
        <v>7557.04256819503</v>
      </c>
      <c r="G43" s="15" t="n">
        <f aca="false">F43*$B$4</f>
        <v>6801.33831137552</v>
      </c>
      <c r="H43" s="15" t="n">
        <f aca="false">$B$9*B43*$B$7</f>
        <v>239.999999999549</v>
      </c>
      <c r="I43" s="15" t="n">
        <f aca="false">$B$8</f>
        <v>7576</v>
      </c>
      <c r="J43" s="15" t="n">
        <f aca="false">G43-H43-I43</f>
        <v>-1014.66168862403</v>
      </c>
      <c r="K43" s="15" t="n">
        <f aca="false">K42+J43</f>
        <v>-105211.202900647</v>
      </c>
      <c r="L43" s="15" t="n">
        <f aca="false">MIN(J43:J51)</f>
        <v>-1014.66168862403</v>
      </c>
    </row>
    <row r="44" customFormat="false" ht="15" hidden="false" customHeight="false" outlineLevel="0" collapsed="false">
      <c r="A44" s="0" t="n">
        <v>29</v>
      </c>
      <c r="B44" s="22" t="n">
        <f aca="false">IF(Inputs!B22=0,1,1/(1+EXP(-Inputs!B22*(A44-Inputs!B21))))</f>
        <v>0.999999999999309</v>
      </c>
      <c r="C44" s="32" t="n">
        <f aca="false">IF(A44-Inputs!B23&lt;1,0,$B$9*IF(Inputs!B22=0,1,1/(1+EXP(-Inputs!B22*(A44-Inputs!B23-Inputs!B21)))))</f>
        <v>2.39999999999834</v>
      </c>
      <c r="D44" s="32" t="n">
        <f aca="true">D43*(1-$B$5)+IF(A44-Inputs!B17&lt;1,0,OFFSET(C44,-Inputs!B17,0)*(1-$B$5)^Inputs!B17)</f>
        <v>45.9962864676335</v>
      </c>
      <c r="E44" s="15" t="n">
        <f aca="false">IF(D44&gt;0,F44/D44,0)</f>
        <v>167.921453758739</v>
      </c>
      <c r="F44" s="15" t="n">
        <f aca="true">F43*(1-$B$5)*(1+$B$6)+IF(A44-Inputs!B17&lt;1,0,OFFSET(C44,-Inputs!B17,0)*(1-$B$5)^Inputs!B17)*$B$3</f>
        <v>7723.76329114844</v>
      </c>
      <c r="G44" s="15" t="n">
        <f aca="false">F44*$B$4</f>
        <v>6951.38696203359</v>
      </c>
      <c r="H44" s="15" t="n">
        <f aca="false">$B$9*B44*$B$7</f>
        <v>239.999999999834</v>
      </c>
      <c r="I44" s="15" t="n">
        <f aca="false">$B$8</f>
        <v>7576</v>
      </c>
      <c r="J44" s="15" t="n">
        <f aca="false">G44-H44-I44</f>
        <v>-864.613037966243</v>
      </c>
      <c r="K44" s="15" t="n">
        <f aca="false">K43+J44</f>
        <v>-106075.815938614</v>
      </c>
      <c r="L44" s="15" t="n">
        <f aca="false">MIN(J44:J51)</f>
        <v>-864.613037966243</v>
      </c>
    </row>
    <row r="45" customFormat="false" ht="15" hidden="false" customHeight="false" outlineLevel="0" collapsed="false">
      <c r="A45" s="0" t="n">
        <v>30</v>
      </c>
      <c r="B45" s="22" t="n">
        <f aca="false">IF(Inputs!B22=0,1,1/(1+EXP(-Inputs!B22*(A45-Inputs!B21))))</f>
        <v>0.999999999999746</v>
      </c>
      <c r="C45" s="32" t="n">
        <f aca="false">IF(A45-Inputs!B23&lt;1,0,$B$9*IF(Inputs!B22=0,1,1/(1+EXP(-Inputs!B22*(A45-Inputs!B23-Inputs!B21)))))</f>
        <v>2.39999999999939</v>
      </c>
      <c r="D45" s="32" t="n">
        <f aca="true">D44*(1-$B$5)+IF(A45-Inputs!B17&lt;1,0,OFFSET(C45,-Inputs!B17,0)*(1-$B$5)^Inputs!B17)</f>
        <v>46.9443978736029</v>
      </c>
      <c r="E45" s="15" t="n">
        <f aca="false">IF(D45&gt;0,F45/D45,0)</f>
        <v>167.974939494277</v>
      </c>
      <c r="F45" s="15" t="n">
        <f aca="true">F44*(1-$B$5)*(1+$B$6)+IF(A45-Inputs!B17&lt;1,0,OFFSET(C45,-Inputs!B17,0)*(1-$B$5)^Inputs!B17)*$B$3</f>
        <v>7885.48239241371</v>
      </c>
      <c r="G45" s="15" t="n">
        <f aca="false">F45*$B$4</f>
        <v>7096.93415317234</v>
      </c>
      <c r="H45" s="15" t="n">
        <f aca="false">$B$9*B45*$B$7</f>
        <v>239.999999999939</v>
      </c>
      <c r="I45" s="15" t="n">
        <f aca="false">$B$8</f>
        <v>7576</v>
      </c>
      <c r="J45" s="15" t="n">
        <f aca="false">G45-H45-I45</f>
        <v>-719.0658468276</v>
      </c>
      <c r="K45" s="15" t="n">
        <f aca="false">K44+J45</f>
        <v>-106794.881785441</v>
      </c>
      <c r="L45" s="15" t="n">
        <f aca="false">MIN(J45:J51)</f>
        <v>-719.0658468276</v>
      </c>
    </row>
    <row r="46" customFormat="false" ht="15" hidden="false" customHeight="false" outlineLevel="0" collapsed="false">
      <c r="A46" s="0" t="n">
        <v>31</v>
      </c>
      <c r="B46" s="22" t="n">
        <f aca="false">IF(Inputs!B22=0,1,1/(1+EXP(-Inputs!B22*(A46-Inputs!B21))))</f>
        <v>0.999999999999907</v>
      </c>
      <c r="C46" s="32" t="n">
        <f aca="false">IF(A46-Inputs!B23&lt;1,0,$B$9*IF(Inputs!B22=0,1,1/(1+EXP(-Inputs!B22*(A46-Inputs!B23-Inputs!B21)))))</f>
        <v>2.39999999999978</v>
      </c>
      <c r="D46" s="32" t="n">
        <f aca="true">D45*(1-$B$5)+IF(A46-Inputs!B17&lt;1,0,OFFSET(C46,-Inputs!B17,0)*(1-$B$5)^Inputs!B17)</f>
        <v>47.8640659373942</v>
      </c>
      <c r="E46" s="15" t="n">
        <f aca="false">IF(D46&gt;0,F46/D46,0)</f>
        <v>168.024796120758</v>
      </c>
      <c r="F46" s="15" t="n">
        <f aca="true">F45*(1-$B$5)*(1+$B$6)+IF(A46-Inputs!B17&lt;1,0,OFFSET(C46,-Inputs!B17,0)*(1-$B$5)^Inputs!B17)*$B$3</f>
        <v>8042.3499206412</v>
      </c>
      <c r="G46" s="15" t="n">
        <f aca="false">F46*$B$4</f>
        <v>7238.11492857708</v>
      </c>
      <c r="H46" s="15" t="n">
        <f aca="false">$B$9*B46*$B$7</f>
        <v>239.999999999978</v>
      </c>
      <c r="I46" s="15" t="n">
        <f aca="false">$B$8</f>
        <v>7576</v>
      </c>
      <c r="J46" s="15" t="n">
        <f aca="false">G46-H46-I46</f>
        <v>-577.885071422899</v>
      </c>
      <c r="K46" s="15" t="n">
        <f aca="false">K45+J46</f>
        <v>-107372.766856864</v>
      </c>
      <c r="L46" s="15" t="n">
        <f aca="false">MIN(J46:J51)</f>
        <v>-577.885071422899</v>
      </c>
    </row>
    <row r="47" customFormat="false" ht="15" hidden="false" customHeight="false" outlineLevel="0" collapsed="false">
      <c r="A47" s="0" t="n">
        <v>32</v>
      </c>
      <c r="B47" s="22" t="n">
        <f aca="false">IF(Inputs!B22=0,1,1/(1+EXP(-Inputs!B22*(A47-Inputs!B21))))</f>
        <v>0.999999999999966</v>
      </c>
      <c r="C47" s="32" t="n">
        <f aca="false">IF(A47-Inputs!B23&lt;1,0,$B$9*IF(Inputs!B22=0,1,1/(1+EXP(-Inputs!B22*(A47-Inputs!B23-Inputs!B21)))))</f>
        <v>2.39999999999992</v>
      </c>
      <c r="D47" s="32" t="n">
        <f aca="true">D46*(1-$B$5)+IF(A47-Inputs!B17&lt;1,0,OFFSET(C47,-Inputs!B17,0)*(1-$B$5)^Inputs!B17)</f>
        <v>48.7561439592722</v>
      </c>
      <c r="E47" s="15" t="n">
        <f aca="false">IF(D47&gt;0,F47/D47,0)</f>
        <v>168.071359988335</v>
      </c>
      <c r="F47" s="15" t="n">
        <f aca="true">F46*(1-$B$5)*(1+$B$6)+IF(A47-Inputs!B17&lt;1,0,OFFSET(C47,-Inputs!B17,0)*(1-$B$5)^Inputs!B17)*$B$3</f>
        <v>8194.51142302192</v>
      </c>
      <c r="G47" s="15" t="n">
        <f aca="false">F47*$B$4</f>
        <v>7375.06028071973</v>
      </c>
      <c r="H47" s="15" t="n">
        <f aca="false">$B$9*B47*$B$7</f>
        <v>239.999999999992</v>
      </c>
      <c r="I47" s="15" t="n">
        <f aca="false">$B$8</f>
        <v>7576</v>
      </c>
      <c r="J47" s="15" t="n">
        <f aca="false">G47-H47-I47</f>
        <v>-440.93971928026</v>
      </c>
      <c r="K47" s="15" t="n">
        <f aca="false">K46+J47</f>
        <v>-107813.706576144</v>
      </c>
      <c r="L47" s="15" t="n">
        <f aca="false">MIN(J47:J51)</f>
        <v>-440.93971928026</v>
      </c>
    </row>
    <row r="48" customFormat="false" ht="15" hidden="false" customHeight="false" outlineLevel="0" collapsed="false">
      <c r="A48" s="0" t="n">
        <v>33</v>
      </c>
      <c r="B48" s="22" t="n">
        <f aca="false">IF(Inputs!B22=0,1,1/(1+EXP(-Inputs!B22*(A48-Inputs!B21))))</f>
        <v>0.999999999999987</v>
      </c>
      <c r="C48" s="32" t="n">
        <f aca="false">IF(A48-Inputs!B23&lt;1,0,$B$9*IF(Inputs!B22=0,1,1/(1+EXP(-Inputs!B22*(A48-Inputs!B23-Inputs!B21)))))</f>
        <v>2.39999999999997</v>
      </c>
      <c r="D48" s="32" t="n">
        <f aca="true">D47*(1-$B$5)+IF(A48-Inputs!B17&lt;1,0,OFFSET(C48,-Inputs!B17,0)*(1-$B$5)^Inputs!B17)</f>
        <v>49.6214596404939</v>
      </c>
      <c r="E48" s="15" t="n">
        <f aca="false">IF(D48&gt;0,F48/D48,0)</f>
        <v>168.114927307048</v>
      </c>
      <c r="F48" s="15" t="n">
        <f aca="true">F47*(1-$B$5)*(1+$B$6)+IF(A48-Inputs!B17&lt;1,0,OFFSET(C48,-Inputs!B17,0)*(1-$B$5)^Inputs!B17)*$B$3</f>
        <v>8342.10808033125</v>
      </c>
      <c r="G48" s="15" t="n">
        <f aca="false">F48*$B$4</f>
        <v>7507.89727229813</v>
      </c>
      <c r="H48" s="15" t="n">
        <f aca="false">$B$9*B48*$B$7</f>
        <v>239.999999999997</v>
      </c>
      <c r="I48" s="15" t="n">
        <f aca="false">$B$8</f>
        <v>7576</v>
      </c>
      <c r="J48" s="15" t="n">
        <f aca="false">G48-H48-I48</f>
        <v>-308.10272770187</v>
      </c>
      <c r="K48" s="15" t="n">
        <f aca="false">K47+J48</f>
        <v>-108121.809303846</v>
      </c>
      <c r="L48" s="15" t="n">
        <f aca="false">MIN(J48:J51)</f>
        <v>-308.10272770187</v>
      </c>
    </row>
    <row r="49" customFormat="false" ht="15" hidden="false" customHeight="false" outlineLevel="0" collapsed="false">
      <c r="A49" s="0" t="n">
        <v>34</v>
      </c>
      <c r="B49" s="22" t="n">
        <f aca="false">IF(Inputs!B22=0,1,1/(1+EXP(-Inputs!B22*(A49-Inputs!B21))))</f>
        <v>0.999999999999995</v>
      </c>
      <c r="C49" s="32" t="n">
        <f aca="false">IF(A49-Inputs!B23&lt;1,0,$B$9*IF(Inputs!B22=0,1,1/(1+EXP(-Inputs!B22*(A49-Inputs!B23-Inputs!B21)))))</f>
        <v>2.39999999999999</v>
      </c>
      <c r="D49" s="32" t="n">
        <f aca="true">D48*(1-$B$5)+IF(A49-Inputs!B17&lt;1,0,OFFSET(C49,-Inputs!B17,0)*(1-$B$5)^Inputs!B17)</f>
        <v>50.4608158512791</v>
      </c>
      <c r="E49" s="15" t="n">
        <f aca="false">IF(D49&gt;0,F49/D49,0)</f>
        <v>168.155759964912</v>
      </c>
      <c r="F49" s="15" t="n">
        <f aca="true">F48*(1-$B$5)*(1+$B$6)+IF(A49-Inputs!B17&lt;1,0,OFFSET(C49,-Inputs!B17,0)*(1-$B$5)^Inputs!B17)*$B$3</f>
        <v>8485.27683792131</v>
      </c>
      <c r="G49" s="15" t="n">
        <f aca="false">F49*$B$4</f>
        <v>7636.74915412918</v>
      </c>
      <c r="H49" s="15" t="n">
        <f aca="false">$B$9*B49*$B$7</f>
        <v>239.999999999999</v>
      </c>
      <c r="I49" s="15" t="n">
        <f aca="false">$B$8</f>
        <v>7576</v>
      </c>
      <c r="J49" s="15" t="n">
        <f aca="false">G49-H49-I49</f>
        <v>-179.25084587082</v>
      </c>
      <c r="K49" s="15" t="n">
        <f aca="false">K48+J49</f>
        <v>-108301.060149717</v>
      </c>
      <c r="L49" s="15" t="n">
        <f aca="false">MIN(J49:J51)</f>
        <v>-179.25084587082</v>
      </c>
    </row>
    <row r="50" customFormat="false" ht="15" hidden="false" customHeight="false" outlineLevel="0" collapsed="false">
      <c r="A50" s="0" t="n">
        <v>35</v>
      </c>
      <c r="B50" s="22" t="n">
        <f aca="false">IF(Inputs!B22=0,1,1/(1+EXP(-Inputs!B22*(A50-Inputs!B21))))</f>
        <v>0.999999999999998</v>
      </c>
      <c r="C50" s="32" t="n">
        <f aca="false">IF(A50-Inputs!B23&lt;1,0,$B$9*IF(Inputs!B22=0,1,1/(1+EXP(-Inputs!B22*(A50-Inputs!B23-Inputs!B21)))))</f>
        <v>2.4</v>
      </c>
      <c r="D50" s="32" t="n">
        <f aca="true">D49*(1-$B$5)+IF(A50-Inputs!B17&lt;1,0,OFFSET(C50,-Inputs!B17,0)*(1-$B$5)^Inputs!B17)</f>
        <v>51.2749913757407</v>
      </c>
      <c r="E50" s="15" t="n">
        <f aca="false">IF(D50&gt;0,F50/D50,0)</f>
        <v>168.194090362421</v>
      </c>
      <c r="F50" s="15" t="n">
        <f aca="true">F49*(1-$B$5)*(1+$B$6)+IF(A50-Inputs!B17&lt;1,0,OFFSET(C50,-Inputs!B17,0)*(1-$B$5)^Inputs!B17)*$B$3</f>
        <v>8624.15053278367</v>
      </c>
      <c r="G50" s="15" t="n">
        <f aca="false">F50*$B$4</f>
        <v>7761.7354795053</v>
      </c>
      <c r="H50" s="15" t="n">
        <f aca="false">$B$9*B50*$B$7</f>
        <v>240</v>
      </c>
      <c r="I50" s="15" t="n">
        <f aca="false">$B$8</f>
        <v>7576</v>
      </c>
      <c r="J50" s="15" t="n">
        <f aca="false">G50-H50-I50</f>
        <v>-54.2645204946966</v>
      </c>
      <c r="K50" s="15" t="n">
        <f aca="false">K49+J50</f>
        <v>-108355.324670212</v>
      </c>
      <c r="L50" s="15" t="n">
        <f aca="false">MIN(J50:J51)</f>
        <v>-54.2645204946966</v>
      </c>
    </row>
    <row r="51" customFormat="false" ht="15" hidden="false" customHeight="false" outlineLevel="0" collapsed="false">
      <c r="A51" s="0" t="n">
        <v>36</v>
      </c>
      <c r="B51" s="22" t="n">
        <f aca="false">IF(Inputs!B22=0,1,1/(1+EXP(-Inputs!B22*(A51-Inputs!B21))))</f>
        <v>0.999999999999999</v>
      </c>
      <c r="C51" s="32" t="n">
        <f aca="false">IF(A51-Inputs!B23&lt;1,0,$B$9*IF(Inputs!B22=0,1,1/(1+EXP(-Inputs!B22*(A51-Inputs!B23-Inputs!B21)))))</f>
        <v>2.4</v>
      </c>
      <c r="D51" s="32" t="n">
        <f aca="true">D50*(1-$B$5)+IF(A51-Inputs!B17&lt;1,0,OFFSET(C51,-Inputs!B17,0)*(1-$B$5)^Inputs!B17)</f>
        <v>52.0647416344685</v>
      </c>
      <c r="E51" s="15" t="n">
        <f aca="false">IF(D51&gt;0,F51/D51,0)</f>
        <v>168.230125452145</v>
      </c>
      <c r="F51" s="15" t="n">
        <f aca="true">F50*(1-$B$5)*(1+$B$6)+IF(A51-Inputs!B17&lt;1,0,OFFSET(C51,-Inputs!B17,0)*(1-$B$5)^Inputs!B17)*$B$3</f>
        <v>8758.85801680016</v>
      </c>
      <c r="G51" s="15" t="n">
        <f aca="false">F51*$B$4</f>
        <v>7882.97221512014</v>
      </c>
      <c r="H51" s="15" t="n">
        <f aca="false">$B$9*B51*$B$7</f>
        <v>240</v>
      </c>
      <c r="I51" s="15" t="n">
        <f aca="false">$B$8</f>
        <v>7576</v>
      </c>
      <c r="J51" s="15" t="n">
        <f aca="false">G51-H51-I51</f>
        <v>66.9722151201413</v>
      </c>
      <c r="K51" s="15" t="n">
        <f aca="false">K50+J51</f>
        <v>-108288.352455092</v>
      </c>
      <c r="L51" s="15" t="n">
        <f aca="false">MIN(J51)</f>
        <v>66.9722151201413</v>
      </c>
    </row>
    <row r="53" customFormat="false" ht="15" hidden="false" customHeight="false" outlineLevel="0" collapsed="false">
      <c r="A53" s="14" t="s">
        <v>114</v>
      </c>
      <c r="B53" s="0" t="n">
        <f aca="false">IFERROR(INDEX(A16:A51,MATCH(TRUE(),INDEX(L16:L51&gt;=0,0),0)),"none")</f>
        <v>36</v>
      </c>
    </row>
    <row r="54" customFormat="false" ht="15" hidden="false" customHeight="false" outlineLevel="0" collapsed="false">
      <c r="A54" s="14" t="s">
        <v>19</v>
      </c>
      <c r="B54" s="15" t="n">
        <f aca="false">MAX(0,Inputs!B16,-MIN(K16:K51))</f>
        <v>108355.324670212</v>
      </c>
    </row>
    <row r="55" customFormat="false" ht="15" hidden="false" customHeight="false" outlineLevel="0" collapsed="false">
      <c r="A55" s="14" t="s">
        <v>115</v>
      </c>
      <c r="B55" s="16" t="n">
        <f aca="false">Inputs!B24*Inputs!E25</f>
        <v>113.04</v>
      </c>
    </row>
    <row r="56" customFormat="false" ht="15" hidden="false" customHeight="false" outlineLevel="0" collapsed="false">
      <c r="A56" s="14" t="s">
        <v>116</v>
      </c>
      <c r="B56" s="16" t="n">
        <f aca="false">D51</f>
        <v>52.0647416344685</v>
      </c>
    </row>
    <row r="57" customFormat="false" ht="15" hidden="false" customHeight="false" outlineLevel="0" collapsed="false">
      <c r="A57" s="14" t="s">
        <v>25</v>
      </c>
      <c r="B57" s="22" t="n">
        <f aca="false">IF(B55&gt;0,B56/B55,0)</f>
        <v>0.460586886362955</v>
      </c>
    </row>
    <row r="58" customFormat="false" ht="15" hidden="false" customHeight="false" outlineLevel="0" collapsed="false">
      <c r="A58" s="14" t="s">
        <v>117</v>
      </c>
      <c r="B58" s="0" t="str">
        <f aca="false">IF(B57&gt;1,"above_comparables",IF(B57&lt;0.1,"far_below_comparables","within_range"))</f>
        <v>within_range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2026-09-30T16:33:38Z</dcterms:created>
  <dc:creator>openpyxl</dc:creator>
  <dc:description/>
  <dc:language>en-US</dc:language>
  <cp:lastModifiedBy/>
  <dcterms:modified xsi:type="dcterms:W3CDTF">2026-09-30T16:33:38Z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